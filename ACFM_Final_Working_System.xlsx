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riram\Desktop\"/>
    </mc:Choice>
  </mc:AlternateContent>
  <bookViews>
    <workbookView xWindow="0" yWindow="0" windowWidth="23040" windowHeight="10512"/>
  </bookViews>
  <sheets>
    <sheet name="Evaluation Sheet" sheetId="1" r:id="rId1"/>
    <sheet name="Student Composition" sheetId="2" r:id="rId2"/>
    <sheet name="Integration Guide" sheetId="3" r:id="rId3"/>
    <sheet name="Lists" sheetId="4" r:id="rId4"/>
    <sheet name="Comment Bank" sheetId="5" r:id="rId5"/>
    <sheet name="DV_Helper" sheetId="6" r:id="rId6"/>
  </sheets>
  <definedNames>
    <definedName name="Cinematography_SemI_A">DV_Helper!$A$1:$A$8</definedName>
    <definedName name="Cinematography_SemI_B">DV_Helper!$A$9:$A$16</definedName>
    <definedName name="Cinematography_SemI_C">DV_Helper!$A$17:$A$24</definedName>
    <definedName name="Cinematography_SemI_D">DV_Helper!$A$25:$A$32</definedName>
    <definedName name="Cinematography_SemII_A">DV_Helper!$A$193:$A$200</definedName>
    <definedName name="Cinematography_SemII_B">DV_Helper!$A$201:$A$208</definedName>
    <definedName name="Cinematography_SemII_C">DV_Helper!$A$209:$A$216</definedName>
    <definedName name="Cinematography_SemII_D">DV_Helper!$A$217:$A$224</definedName>
    <definedName name="Cinematography_SemIII_A">DV_Helper!$A$385:$A$392</definedName>
    <definedName name="Cinematography_SemIII_B">DV_Helper!$A$393:$A$400</definedName>
    <definedName name="Cinematography_SemIII_C">DV_Helper!$A$401:$A$408</definedName>
    <definedName name="Cinematography_SemIII_D">DV_Helper!$A$409:$A$416</definedName>
    <definedName name="Cinematography_SemIV_A">DV_Helper!$A$610:$A$617</definedName>
    <definedName name="Cinematography_SemIV_B">DV_Helper!$A$618:$A$625</definedName>
    <definedName name="Cinematography_SemIV_C">DV_Helper!$A$626:$A$633</definedName>
    <definedName name="Cinematography_SemIV_D">DV_Helper!$A$634:$A$641</definedName>
    <definedName name="Cinematography_SemV_A">DV_Helper!$A$804:$A$811</definedName>
    <definedName name="Cinematography_SemV_B">DV_Helper!$A$812:$A$819</definedName>
    <definedName name="Cinematography_SemV_C">DV_Helper!$A$820:$A$827</definedName>
    <definedName name="Cinematography_SemV_D">DV_Helper!$A$828:$A$835</definedName>
    <definedName name="Cinematography_SemVI_A">DV_Helper!$A$1024:$A$1031</definedName>
    <definedName name="Cinematography_SemVI_B">DV_Helper!$A$1032:$A$1039</definedName>
    <definedName name="Cinematography_SemVI_C">DV_Helper!$A$1040:$A$1047</definedName>
    <definedName name="Cinematography_SemVI_D">DV_Helper!$A$1048:$A$1055</definedName>
    <definedName name="Creative_A">Lists!$FJ$2:$FJ$9</definedName>
    <definedName name="Creative_B">Lists!$FK$2:$FK$9</definedName>
    <definedName name="Creative_C">Lists!$FL$2:$FL$9</definedName>
    <definedName name="Creative_D">Lists!$FM$2:$FM$9</definedName>
    <definedName name="Direction_SemI_A">DV_Helper!$A$33:$A$40</definedName>
    <definedName name="Direction_SemI_B">DV_Helper!$A$41:$A$48</definedName>
    <definedName name="Direction_SemI_C">DV_Helper!$A$49:$A$56</definedName>
    <definedName name="Direction_SemI_D">DV_Helper!$A$57:$A$64</definedName>
    <definedName name="Direction_SemII_A">DV_Helper!$A$225:$A$232</definedName>
    <definedName name="Direction_SemII_B">DV_Helper!$A$233:$A$240</definedName>
    <definedName name="Direction_SemII_C">DV_Helper!$A$241:$A$248</definedName>
    <definedName name="Direction_SemII_D">DV_Helper!$A$249:$A$256</definedName>
    <definedName name="Direction_SemIII_A">DV_Helper!$A$417:$A$424</definedName>
    <definedName name="Direction_SemIII_B">DV_Helper!$A$425:$A$432</definedName>
    <definedName name="Direction_SemIII_C">DV_Helper!$A$433:$A$440</definedName>
    <definedName name="Direction_SemIII_D">DV_Helper!$A$441:$A$448</definedName>
    <definedName name="Direction_SemIV_D">DV_Helper!$A$642:$A$642</definedName>
    <definedName name="Direction_SemV_A">DV_Helper!$A$836:$A$837</definedName>
    <definedName name="Direction_SemV_B">DV_Helper!$A$838:$A$845</definedName>
    <definedName name="Direction_SemV_C">DV_Helper!$A$846:$A$853</definedName>
    <definedName name="Direction_SemV_D">DV_Helper!$A$854:$A$861</definedName>
    <definedName name="Direction_SemVI_D">DV_Helper!$A$1056:$A$1057</definedName>
    <definedName name="Editing_SemI_A">DV_Helper!$A$65:$A$72</definedName>
    <definedName name="Editing_SemI_B">DV_Helper!$A$73:$A$80</definedName>
    <definedName name="Editing_SemI_C">DV_Helper!$A$81:$A$88</definedName>
    <definedName name="Editing_SemI_D">DV_Helper!$A$89:$A$96</definedName>
    <definedName name="Editing_SemII_A">DV_Helper!$A$257:$A$264</definedName>
    <definedName name="Editing_SemII_B">DV_Helper!$A$265:$A$272</definedName>
    <definedName name="Editing_SemII_C">DV_Helper!$A$273:$A$280</definedName>
    <definedName name="Editing_SemII_D">DV_Helper!$A$281:$A$288</definedName>
    <definedName name="Editing_SemIII_A">DV_Helper!$A$449:$A$456</definedName>
    <definedName name="Editing_SemIII_B">DV_Helper!$A$457:$A$464</definedName>
    <definedName name="Editing_SemIII_C">DV_Helper!$A$465:$A$472</definedName>
    <definedName name="Editing_SemIII_D">DV_Helper!$A$473:$A$480</definedName>
    <definedName name="Editing_SemIV_A">DV_Helper!$A$643:$A$650</definedName>
    <definedName name="Editing_SemIV_B">DV_Helper!$A$651:$A$658</definedName>
    <definedName name="Editing_SemIV_C">DV_Helper!$A$659:$A$666</definedName>
    <definedName name="Editing_SemIV_D">DV_Helper!$A$667:$A$674</definedName>
    <definedName name="Editing_SemV_A">DV_Helper!$A$862:$A$869</definedName>
    <definedName name="Editing_SemV_B">DV_Helper!$A$870:$A$877</definedName>
    <definedName name="Editing_SemV_C">DV_Helper!$A$878:$A$885</definedName>
    <definedName name="Editing_SemV_D">DV_Helper!$A$886:$A$893</definedName>
    <definedName name="Editing_SemVI_A">DV_Helper!$A$1058:$A$1065</definedName>
    <definedName name="Editing_SemVI_B">DV_Helper!$A$1066:$A$1073</definedName>
    <definedName name="Editing_SemVI_C">DV_Helper!$A$1074:$A$1081</definedName>
    <definedName name="Editing_SemVI_D">DV_Helper!$A$1082:$A$1089</definedName>
    <definedName name="Production_SemI_A">DV_Helper!$A$97:$A$104</definedName>
    <definedName name="Production_SemI_B">DV_Helper!$A$105:$A$112</definedName>
    <definedName name="Production_SemI_C">DV_Helper!$A$113:$A$120</definedName>
    <definedName name="Production_SemI_D">DV_Helper!$A$121:$A$128</definedName>
    <definedName name="Production_SemII_A">DV_Helper!$A$289:$A$296</definedName>
    <definedName name="Production_SemII_B">DV_Helper!$A$297:$A$304</definedName>
    <definedName name="Production_SemII_C">DV_Helper!$A$305:$A$312</definedName>
    <definedName name="Production_SemII_D">DV_Helper!$A$313:$A$320</definedName>
    <definedName name="Production_SemIII_A">DV_Helper!$A$481:$A$488</definedName>
    <definedName name="Production_SemIII_B">DV_Helper!$A$489:$A$496</definedName>
    <definedName name="Production_SemIII_C">DV_Helper!$A$497:$A$504</definedName>
    <definedName name="Production_SemIII_D">DV_Helper!$A$505:$A$512</definedName>
    <definedName name="Production_SemIV_A">DV_Helper!$A$675:$A$682</definedName>
    <definedName name="Production_SemIV_B">DV_Helper!$A$683:$A$690</definedName>
    <definedName name="Production_SemIV_C">DV_Helper!$A$691:$A$698</definedName>
    <definedName name="Production_SemIV_D">DV_Helper!$A$699:$A$706</definedName>
    <definedName name="Production_SemV_A">DV_Helper!$A$894:$A$901</definedName>
    <definedName name="Production_SemV_B">DV_Helper!$A$902:$A$909</definedName>
    <definedName name="Production_SemV_C">DV_Helper!$A$910:$A$917</definedName>
    <definedName name="Production_SemV_D">DV_Helper!$A$918:$A$924</definedName>
    <definedName name="Production_SemVI_A">DV_Helper!$A$1090:$A$1097</definedName>
    <definedName name="Production_SemVI_B">DV_Helper!$A$1098:$A$1105</definedName>
    <definedName name="Production_SemVI_C">DV_Helper!$A$1106:$A$1113</definedName>
    <definedName name="Production_SemVI_D">DV_Helper!$A$1114:$A$1121</definedName>
    <definedName name="Professional_A">Lists!$FR$2:$FR$9</definedName>
    <definedName name="Professional_B">Lists!$FS$2:$FS$9</definedName>
    <definedName name="Professional_C">Lists!$FT$2:$FT$9</definedName>
    <definedName name="Professional_D">Lists!$FU$2:$FU$9</definedName>
    <definedName name="Screenwriting_SemI_A">DV_Helper!$A$129:$A$136</definedName>
    <definedName name="Screenwriting_SemI_B">DV_Helper!$A$137:$A$144</definedName>
    <definedName name="Screenwriting_SemI_C">DV_Helper!$A$145:$A$152</definedName>
    <definedName name="Screenwriting_SemI_D">DV_Helper!$A$153:$A$160</definedName>
    <definedName name="Screenwriting_SemII_A">DV_Helper!$A$321:$A$328</definedName>
    <definedName name="Screenwriting_SemII_B">DV_Helper!$A$329:$A$336</definedName>
    <definedName name="Screenwriting_SemII_C">DV_Helper!$A$337:$A$344</definedName>
    <definedName name="Screenwriting_SemII_D">DV_Helper!$A$345:$A$352</definedName>
    <definedName name="Screenwriting_SemIII_A">DV_Helper!$A$513:$A$520</definedName>
    <definedName name="Screenwriting_SemIII_B">DV_Helper!$A$521:$A$528</definedName>
    <definedName name="Screenwriting_SemIII_C">DV_Helper!$A$529:$A$536</definedName>
    <definedName name="Screenwriting_SemIII_D">DV_Helper!$A$537:$A$544</definedName>
    <definedName name="Screenwriting_SemIV_A">DV_Helper!$A$707:$A$714</definedName>
    <definedName name="Screenwriting_SemIV_B">DV_Helper!$A$715:$A$722</definedName>
    <definedName name="Screenwriting_SemIV_C">DV_Helper!$A$723:$A$730</definedName>
    <definedName name="Screenwriting_SemIV_D">DV_Helper!$A$731:$A$738</definedName>
    <definedName name="Screenwriting_SemV_A">DV_Helper!$A$925:$A$932</definedName>
    <definedName name="Screenwriting_SemV_B">DV_Helper!$A$933:$A$940</definedName>
    <definedName name="Screenwriting_SemV_C">DV_Helper!$A$941:$A$948</definedName>
    <definedName name="Screenwriting_SemV_D">DV_Helper!$A$949:$A$956</definedName>
    <definedName name="Screenwriting_SemVI_A">DV_Helper!$A$1122:$A$1129</definedName>
    <definedName name="Screenwriting_SemVI_B">DV_Helper!$A$1130:$A$1137</definedName>
    <definedName name="Screenwriting_SemVI_C">DV_Helper!$A$1138:$A$1145</definedName>
    <definedName name="Screenwriting_SemVI_D">DV_Helper!$A$1146:$A$1153</definedName>
    <definedName name="SemI_Cinematography_A">DV_Helper!$A$1:$A$8</definedName>
    <definedName name="SemI_Cinematography_B">DV_Helper!$A$9:$A$16</definedName>
    <definedName name="SemI_Cinematography_C">DV_Helper!$A$17:$A$24</definedName>
    <definedName name="SemI_Cinematography_D">DV_Helper!$A$25:$A$32</definedName>
    <definedName name="SemI_Direction_A">DV_Helper!$A$33:$A$40</definedName>
    <definedName name="SemI_Direction_B">DV_Helper!$A$41:$A$48</definedName>
    <definedName name="SemI_Direction_C">DV_Helper!$A$49:$A$56</definedName>
    <definedName name="SemI_Direction_D">DV_Helper!$A$57:$A$64</definedName>
    <definedName name="SemI_Editing_A">DV_Helper!$A$65:$A$72</definedName>
    <definedName name="SemI_Editing_B">DV_Helper!$A$73:$A$80</definedName>
    <definedName name="SemI_Editing_C">DV_Helper!$A$81:$A$88</definedName>
    <definedName name="SemI_Editing_D">DV_Helper!$A$89:$A$96</definedName>
    <definedName name="SemI_Production_A">DV_Helper!$A$97:$A$104</definedName>
    <definedName name="SemI_Production_B">DV_Helper!$A$105:$A$112</definedName>
    <definedName name="SemI_Production_C">DV_Helper!$A$113:$A$120</definedName>
    <definedName name="SemI_Production_D">DV_Helper!$A$121:$A$128</definedName>
    <definedName name="SemI_Screenwriting_A">DV_Helper!$A$129:$A$136</definedName>
    <definedName name="SemI_Screenwriting_B">DV_Helper!$A$137:$A$144</definedName>
    <definedName name="SemI_Screenwriting_C">DV_Helper!$A$145:$A$152</definedName>
    <definedName name="SemI_Screenwriting_D">DV_Helper!$A$153:$A$160</definedName>
    <definedName name="SemI_Sound_A">Lists!$J$2:$J$9</definedName>
    <definedName name="SemI_Sound_B">Lists!$P$2:$P$9</definedName>
    <definedName name="SemI_Sound_C">Lists!$V$2:$V$9</definedName>
    <definedName name="SemI_Sound_D">Lists!$AB$2:$AB$9</definedName>
    <definedName name="SemI_SoundDesign_A">DV_Helper!$A$161:$A$168</definedName>
    <definedName name="SemI_SoundDesign_B">DV_Helper!$A$169:$A$176</definedName>
    <definedName name="SemI_SoundDesign_C">DV_Helper!$A$177:$A$184</definedName>
    <definedName name="SemI_SoundDesign_D">DV_Helper!$A$185:$A$192</definedName>
    <definedName name="SemII_Cinematography_A">DV_Helper!$A$193:$A$200</definedName>
    <definedName name="SemII_Cinematography_B">DV_Helper!$A$201:$A$208</definedName>
    <definedName name="SemII_Cinematography_C">DV_Helper!$A$209:$A$216</definedName>
    <definedName name="SemII_Cinematography_D">DV_Helper!$A$217:$A$224</definedName>
    <definedName name="SemII_Direction_A">DV_Helper!$A$225:$A$232</definedName>
    <definedName name="SemII_Direction_B">DV_Helper!$A$233:$A$240</definedName>
    <definedName name="SemII_Direction_C">DV_Helper!$A$241:$A$248</definedName>
    <definedName name="SemII_Direction_D">DV_Helper!$A$249:$A$256</definedName>
    <definedName name="SemII_Editing_A">DV_Helper!$A$257:$A$264</definedName>
    <definedName name="SemII_Editing_B">DV_Helper!$A$265:$A$272</definedName>
    <definedName name="SemII_Editing_C">DV_Helper!$A$273:$A$280</definedName>
    <definedName name="SemII_Editing_D">DV_Helper!$A$281:$A$288</definedName>
    <definedName name="SemII_Production_A">DV_Helper!$A$289:$A$296</definedName>
    <definedName name="SemII_Production_B">DV_Helper!$A$297:$A$304</definedName>
    <definedName name="SemII_Production_C">DV_Helper!$A$305:$A$312</definedName>
    <definedName name="SemII_Production_D">DV_Helper!$A$313:$A$320</definedName>
    <definedName name="SemII_Screenwriting_A">DV_Helper!$A$321:$A$328</definedName>
    <definedName name="SemII_Screenwriting_B">DV_Helper!$A$329:$A$336</definedName>
    <definedName name="SemII_Screenwriting_C">DV_Helper!$A$337:$A$344</definedName>
    <definedName name="SemII_Screenwriting_D">DV_Helper!$A$345:$A$352</definedName>
    <definedName name="SemII_Sound_A">Lists!$AH$2:$AH$9</definedName>
    <definedName name="SemII_Sound_B">Lists!$AN$2:$AN$9</definedName>
    <definedName name="SemII_Sound_C">Lists!$AT$2:$AT$9</definedName>
    <definedName name="SemII_Sound_D">Lists!$AZ$2:$AZ$9</definedName>
    <definedName name="SemII_SoundDesign_A">DV_Helper!$A$353:$A$360</definedName>
    <definedName name="SemII_SoundDesign_B">DV_Helper!$A$361:$A$368</definedName>
    <definedName name="SemII_SoundDesign_C">DV_Helper!$A$369:$A$376</definedName>
    <definedName name="SemII_SoundDesign_D">DV_Helper!$A$377:$A$384</definedName>
    <definedName name="SemIII_Cinematography_A">DV_Helper!$A$385:$A$392</definedName>
    <definedName name="SemIII_Cinematography_B">DV_Helper!$A$393:$A$400</definedName>
    <definedName name="SemIII_Cinematography_C">DV_Helper!$A$401:$A$408</definedName>
    <definedName name="SemIII_Cinematography_D">DV_Helper!$A$409:$A$416</definedName>
    <definedName name="SemIII_Direction_A">DV_Helper!$A$417:$A$424</definedName>
    <definedName name="SemIII_Direction_B">DV_Helper!$A$425:$A$432</definedName>
    <definedName name="SemIII_Direction_C">DV_Helper!$A$433:$A$440</definedName>
    <definedName name="SemIII_Direction_D">DV_Helper!$A$441:$A$448</definedName>
    <definedName name="SemIII_Editing_A">DV_Helper!$A$449:$A$456</definedName>
    <definedName name="SemIII_Editing_B">DV_Helper!$A$457:$A$464</definedName>
    <definedName name="SemIII_Editing_C">DV_Helper!$A$465:$A$472</definedName>
    <definedName name="SemIII_Editing_D">DV_Helper!$A$473:$A$480</definedName>
    <definedName name="SemIII_Production_A">DV_Helper!$A$481:$A$488</definedName>
    <definedName name="SemIII_Production_B">DV_Helper!$A$489:$A$496</definedName>
    <definedName name="SemIII_Production_C">DV_Helper!$A$497:$A$504</definedName>
    <definedName name="SemIII_Production_D">DV_Helper!$A$505:$A$512</definedName>
    <definedName name="SemIII_Screenwriting_A">DV_Helper!$A$513:$A$520</definedName>
    <definedName name="SemIII_Screenwriting_B">DV_Helper!$A$521:$A$528</definedName>
    <definedName name="SemIII_Screenwriting_C">DV_Helper!$A$529:$A$536</definedName>
    <definedName name="SemIII_Screenwriting_D">DV_Helper!$A$537:$A$544</definedName>
    <definedName name="SemIII_SoundDesign_A">DV_Helper!$A$545:$A$552</definedName>
    <definedName name="SemIII_SoundDesign_B">DV_Helper!$A$553:$A$560</definedName>
    <definedName name="SemIII_SoundDesign_C">DV_Helper!$A$561:$A$568</definedName>
    <definedName name="SemIII_SoundDesign_D">DV_Helper!$A$569:$A$576</definedName>
    <definedName name="SemIII_VFX_A">DV_Helper!$A$577:$A$584</definedName>
    <definedName name="SemIII_VFX_B">DV_Helper!$A$585:$A$592</definedName>
    <definedName name="SemIII_VFX_C">DV_Helper!$A$593:$A$601</definedName>
    <definedName name="SemIII_VFX_D">DV_Helper!$A$602:$A$609</definedName>
    <definedName name="SemIV_Cinematography_A">DV_Helper!$A$610:$A$617</definedName>
    <definedName name="SemIV_Cinematography_B">DV_Helper!$A$618:$A$625</definedName>
    <definedName name="SemIV_Cinematography_C">DV_Helper!$A$626:$A$633</definedName>
    <definedName name="SemIV_Cinematography_D">DV_Helper!$A$634:$A$641</definedName>
    <definedName name="SemIV_Direction_A">Lists!$CD$2:$CD$9</definedName>
    <definedName name="SemIV_Direction_B">Lists!$CK$2:$CK$9</definedName>
    <definedName name="SemIV_Direction_C">Lists!$CR$2:$CR$9</definedName>
    <definedName name="SemIV_Direction_D">DV_Helper!$A$642:$A$642</definedName>
    <definedName name="SemIV_Editing_A">DV_Helper!$A$643:$A$650</definedName>
    <definedName name="SemIV_Editing_B">DV_Helper!$A$651:$A$658</definedName>
    <definedName name="SemIV_Editing_C">DV_Helper!$A$659:$A$666</definedName>
    <definedName name="SemIV_Editing_D">DV_Helper!$A$667:$A$674</definedName>
    <definedName name="SemIV_Production_A">DV_Helper!$A$675:$A$682</definedName>
    <definedName name="SemIV_Production_B">DV_Helper!$A$683:$A$690</definedName>
    <definedName name="SemIV_Production_C">DV_Helper!$A$691:$A$698</definedName>
    <definedName name="SemIV_Production_D">DV_Helper!$A$699:$A$706</definedName>
    <definedName name="SemIV_Screenwriting_A">DV_Helper!$A$707:$A$714</definedName>
    <definedName name="SemIV_Screenwriting_B">DV_Helper!$A$715:$A$722</definedName>
    <definedName name="SemIV_Screenwriting_C">DV_Helper!$A$723:$A$730</definedName>
    <definedName name="SemIV_Screenwriting_D">DV_Helper!$A$731:$A$738</definedName>
    <definedName name="SemIV_SoundDesign_A">DV_Helper!$A$739:$A$746</definedName>
    <definedName name="SemIV_SoundDesign_B">DV_Helper!$A$747:$A$754</definedName>
    <definedName name="SemIV_SoundDesign_C">DV_Helper!$A$755:$A$762</definedName>
    <definedName name="SemIV_SoundDesign_D">DV_Helper!$A$763:$A$770</definedName>
    <definedName name="SemIV_VFX_A">DV_Helper!$A$771:$A$778</definedName>
    <definedName name="SemIV_VFX_B">DV_Helper!$A$779:$A$787</definedName>
    <definedName name="SemIV_VFX_C">DV_Helper!$A$788:$A$795</definedName>
    <definedName name="SemIV_VFX_D">DV_Helper!$A$796:$A$803</definedName>
    <definedName name="SemV_Cinematography_A">DV_Helper!$A$804:$A$811</definedName>
    <definedName name="SemV_Cinematography_B">DV_Helper!$A$812:$A$819</definedName>
    <definedName name="SemV_Cinematography_C">DV_Helper!$A$820:$A$827</definedName>
    <definedName name="SemV_Cinematography_D">DV_Helper!$A$828:$A$835</definedName>
    <definedName name="SemV_Direction_A">DV_Helper!$A$836:$A$837</definedName>
    <definedName name="SemV_Direction_B">DV_Helper!$A$838:$A$845</definedName>
    <definedName name="SemV_Direction_C">DV_Helper!$A$846:$A$853</definedName>
    <definedName name="SemV_Direction_D">DV_Helper!$A$854:$A$861</definedName>
    <definedName name="SemV_Editing_A">DV_Helper!$A$862:$A$869</definedName>
    <definedName name="SemV_Editing_B">DV_Helper!$A$870:$A$877</definedName>
    <definedName name="SemV_Editing_C">DV_Helper!$A$878:$A$885</definedName>
    <definedName name="SemV_Editing_D">DV_Helper!$A$886:$A$893</definedName>
    <definedName name="SemV_Production_A">DV_Helper!$A$894:$A$901</definedName>
    <definedName name="SemV_Production_B">DV_Helper!$A$902:$A$909</definedName>
    <definedName name="SemV_Production_C">DV_Helper!$A$910:$A$917</definedName>
    <definedName name="SemV_Production_D">DV_Helper!$A$918:$A$924</definedName>
    <definedName name="SemV_Screenwriting_A">DV_Helper!$A$925:$A$932</definedName>
    <definedName name="SemV_Screenwriting_B">DV_Helper!$A$933:$A$940</definedName>
    <definedName name="SemV_Screenwriting_C">DV_Helper!$A$941:$A$948</definedName>
    <definedName name="SemV_Screenwriting_D">DV_Helper!$A$949:$A$956</definedName>
    <definedName name="SemV_SoundDesign_A">DV_Helper!$A$957:$A$964</definedName>
    <definedName name="SemV_SoundDesign_B">DV_Helper!$A$965:$A$972</definedName>
    <definedName name="SemV_SoundDesign_C">DV_Helper!$A$973:$A$980</definedName>
    <definedName name="SemV_SoundDesign_D">DV_Helper!$A$981:$A$988</definedName>
    <definedName name="SemV_VFX_A">DV_Helper!$A$989:$A$996</definedName>
    <definedName name="SemV_VFX_B">DV_Helper!$A$997:$A$1007</definedName>
    <definedName name="SemV_VFX_C">DV_Helper!$A$1008:$A$1015</definedName>
    <definedName name="SemV_VFX_D">DV_Helper!$A$1016:$A$1023</definedName>
    <definedName name="SemVI_Cinematography_A">DV_Helper!$A$1024:$A$1031</definedName>
    <definedName name="SemVI_Cinematography_B">DV_Helper!$A$1032:$A$1039</definedName>
    <definedName name="SemVI_Cinematography_C">DV_Helper!$A$1040:$A$1047</definedName>
    <definedName name="SemVI_Cinematography_D">DV_Helper!$A$1048:$A$1055</definedName>
    <definedName name="SemVI_Direction_A">Lists!$EH$2:$EH$9</definedName>
    <definedName name="SemVI_Direction_B">Lists!$EO$2:$EO$9</definedName>
    <definedName name="SemVI_Direction_C">Lists!$EV$2:$EV$9</definedName>
    <definedName name="SemVI_Direction_D">DV_Helper!$A$1056:$A$1057</definedName>
    <definedName name="SemVI_Editing_A">DV_Helper!$A$1058:$A$1065</definedName>
    <definedName name="SemVI_Editing_B">DV_Helper!$A$1066:$A$1073</definedName>
    <definedName name="SemVI_Editing_C">DV_Helper!$A$1074:$A$1081</definedName>
    <definedName name="SemVI_Editing_D">DV_Helper!$A$1082:$A$1089</definedName>
    <definedName name="SemVI_Production_A">DV_Helper!$A$1090:$A$1097</definedName>
    <definedName name="SemVI_Production_B">DV_Helper!$A$1098:$A$1105</definedName>
    <definedName name="SemVI_Production_C">DV_Helper!$A$1106:$A$1113</definedName>
    <definedName name="SemVI_Production_D">DV_Helper!$A$1114:$A$1121</definedName>
    <definedName name="SemVI_Screenwriting_A">DV_Helper!$A$1122:$A$1129</definedName>
    <definedName name="SemVI_Screenwriting_B">DV_Helper!$A$1130:$A$1137</definedName>
    <definedName name="SemVI_Screenwriting_C">DV_Helper!$A$1138:$A$1145</definedName>
    <definedName name="SemVI_Screenwriting_D">DV_Helper!$A$1146:$A$1153</definedName>
    <definedName name="SemVI_SoundDesign_A">DV_Helper!$A$1154:$A$1161</definedName>
    <definedName name="SemVI_SoundDesign_B">DV_Helper!$A$1162:$A$1169</definedName>
    <definedName name="SemVI_SoundDesign_C">DV_Helper!$A$1170:$A$1177</definedName>
    <definedName name="SemVI_SoundDesign_D">DV_Helper!$A$1178:$A$1185</definedName>
    <definedName name="SemVI_VFX_A">DV_Helper!$A$1186:$A$1195</definedName>
    <definedName name="SemVI_VFX_B">DV_Helper!$A$1196:$A$1203</definedName>
    <definedName name="SemVI_VFX_C">DV_Helper!$A$1204:$A$1211</definedName>
    <definedName name="SemVI_VFX_D">DV_Helper!$A$1212:$A$1219</definedName>
    <definedName name="Sound_Design_SemIII_A">Lists!$BG$2:$BG$9</definedName>
    <definedName name="Sound_Design_SemIII_B">Lists!$BN$2:$BN$9</definedName>
    <definedName name="Sound_Design_SemIII_C">Lists!$BU$2:$BU$9</definedName>
    <definedName name="Sound_Design_SemIII_D">Lists!$CB$2:$CB$9</definedName>
    <definedName name="Sound_Design_SemIV_A">Lists!$CI$2:$CI$9</definedName>
    <definedName name="Sound_Design_SemIV_B">Lists!$CP$2:$CP$9</definedName>
    <definedName name="Sound_Design_SemIV_C">Lists!$CW$2:$CW$9</definedName>
    <definedName name="Sound_Design_SemIV_D">Lists!$DD$2:$DD$9</definedName>
    <definedName name="Sound_Design_SemV_A">Lists!$DK$2:$DK$9</definedName>
    <definedName name="Sound_Design_SemV_B">Lists!$DR$2:$DR$9</definedName>
    <definedName name="Sound_Design_SemV_C">Lists!$DY$2:$DY$9</definedName>
    <definedName name="Sound_Design_SemV_D">Lists!$EF$2:$EF$9</definedName>
    <definedName name="Sound_Design_SemVI_A">Lists!$EM$2:$EM$9</definedName>
    <definedName name="Sound_Design_SemVI_B">Lists!$ET$2:$ET$9</definedName>
    <definedName name="Sound_Design_SemVI_C">Lists!$FA$2:$FA$9</definedName>
    <definedName name="Sound_Design_SemVI_D">Lists!$FH$2:$FH$9</definedName>
    <definedName name="SoundDesign_SemI_A">DV_Helper!$A$161:$A$168</definedName>
    <definedName name="SoundDesign_SemI_B">DV_Helper!$A$169:$A$176</definedName>
    <definedName name="SoundDesign_SemI_C">DV_Helper!$A$177:$A$184</definedName>
    <definedName name="SoundDesign_SemI_D">DV_Helper!$A$185:$A$192</definedName>
    <definedName name="SoundDesign_SemII_A">DV_Helper!$A$353:$A$360</definedName>
    <definedName name="SoundDesign_SemII_B">DV_Helper!$A$361:$A$368</definedName>
    <definedName name="SoundDesign_SemII_C">DV_Helper!$A$369:$A$376</definedName>
    <definedName name="SoundDesign_SemII_D">DV_Helper!$A$377:$A$384</definedName>
    <definedName name="SoundDesign_SemIII_A">DV_Helper!$A$545:$A$552</definedName>
    <definedName name="SoundDesign_SemIII_B">DV_Helper!$A$553:$A$560</definedName>
    <definedName name="SoundDesign_SemIII_C">DV_Helper!$A$561:$A$568</definedName>
    <definedName name="SoundDesign_SemIII_D">DV_Helper!$A$569:$A$576</definedName>
    <definedName name="SoundDesign_SemIV_A">DV_Helper!$A$739:$A$746</definedName>
    <definedName name="SoundDesign_SemIV_B">DV_Helper!$A$747:$A$754</definedName>
    <definedName name="SoundDesign_SemIV_C">DV_Helper!$A$755:$A$762</definedName>
    <definedName name="SoundDesign_SemIV_D">DV_Helper!$A$763:$A$770</definedName>
    <definedName name="SoundDesign_SemV_A">DV_Helper!$A$957:$A$964</definedName>
    <definedName name="SoundDesign_SemV_B">DV_Helper!$A$965:$A$972</definedName>
    <definedName name="SoundDesign_SemV_C">DV_Helper!$A$973:$A$980</definedName>
    <definedName name="SoundDesign_SemV_D">DV_Helper!$A$981:$A$988</definedName>
    <definedName name="SoundDesign_SemVI_A">DV_Helper!$A$1154:$A$1161</definedName>
    <definedName name="SoundDesign_SemVI_B">DV_Helper!$A$1162:$A$1169</definedName>
    <definedName name="SoundDesign_SemVI_C">DV_Helper!$A$1170:$A$1177</definedName>
    <definedName name="SoundDesign_SemVI_D">DV_Helper!$A$1178:$A$1185</definedName>
    <definedName name="Technical_A">Lists!$FN$2:$FN$9</definedName>
    <definedName name="Technical_B">Lists!$FO$2:$FO$9</definedName>
    <definedName name="Technical_C">Lists!$FP$2:$FP$9</definedName>
    <definedName name="Technical_D">Lists!$FQ$2:$FQ$9</definedName>
    <definedName name="VFX_SemIII_A">DV_Helper!$A$577:$A$584</definedName>
    <definedName name="VFX_SemIII_B">DV_Helper!$A$585:$A$592</definedName>
    <definedName name="VFX_SemIII_C">DV_Helper!$A$593:$A$601</definedName>
    <definedName name="VFX_SemIII_D">DV_Helper!$A$602:$A$609</definedName>
    <definedName name="VFX_SemIV_A">DV_Helper!$A$771:$A$778</definedName>
    <definedName name="VFX_SemIV_B">DV_Helper!$A$779:$A$787</definedName>
    <definedName name="VFX_SemIV_C">DV_Helper!$A$788:$A$795</definedName>
    <definedName name="VFX_SemIV_D">DV_Helper!$A$796:$A$803</definedName>
    <definedName name="VFX_SemV_A">DV_Helper!$A$989:$A$996</definedName>
    <definedName name="VFX_SemV_B">DV_Helper!$A$997:$A$1007</definedName>
    <definedName name="VFX_SemV_C">DV_Helper!$A$1008:$A$1015</definedName>
    <definedName name="VFX_SemV_D">DV_Helper!$A$1016:$A$1023</definedName>
    <definedName name="VFX_SemVI_A">DV_Helper!$A$1186:$A$1195</definedName>
    <definedName name="VFX_SemVI_B">DV_Helper!$A$1196:$A$1203</definedName>
    <definedName name="VFX_SemVI_C">DV_Helper!$A$1204:$A$1211</definedName>
    <definedName name="VFX_SemVI_D">DV_Helper!$A$1212:$A$1219</definedName>
    <definedName name="Visual_Effects_SemIII_A">Lists!$BH$2:$BH$9</definedName>
    <definedName name="Visual_Effects_SemIII_B">Lists!$BO$2:$BO$9</definedName>
    <definedName name="Visual_Effects_SemIII_C">Lists!$BV$2:$BV$9</definedName>
    <definedName name="Visual_Effects_SemIII_D">Lists!$CC$2:$CC$9</definedName>
    <definedName name="Visual_Effects_SemIV_A">Lists!$CJ$2:$CJ$9</definedName>
    <definedName name="Visual_Effects_SemIV_B">Lists!$CQ$2:$CQ$9</definedName>
    <definedName name="Visual_Effects_SemIV_C">Lists!$CX$2:$CX$9</definedName>
    <definedName name="Visual_Effects_SemIV_D">Lists!$DE$2:$DE$9</definedName>
    <definedName name="Visual_Effects_SemV_A">Lists!$DL$2:$DL$9</definedName>
    <definedName name="Visual_Effects_SemV_B">Lists!$DS$2:$DS$9</definedName>
    <definedName name="Visual_Effects_SemV_C">Lists!$DZ$2:$DZ$9</definedName>
    <definedName name="Visual_Effects_SemV_D">Lists!$EG$2:$EG$9</definedName>
    <definedName name="Visual_Effects_SemVI_A">Lists!$EN$2:$EN$9</definedName>
    <definedName name="Visual_Effects_SemVI_B">Lists!$EU$2:$EU$9</definedName>
    <definedName name="Visual_Effects_SemVI_C">Lists!$FB$2:$FB$9</definedName>
    <definedName name="Visual_Effects_SemVI_D">Lists!$FI$2:$FI$9</definedName>
  </definedNames>
  <calcPr calcId="162913"/>
</workbook>
</file>

<file path=xl/calcChain.xml><?xml version="1.0" encoding="utf-8"?>
<calcChain xmlns="http://schemas.openxmlformats.org/spreadsheetml/2006/main">
  <c r="B20" i="2" l="1"/>
  <c r="B22" i="2" l="1"/>
  <c r="B21" i="2"/>
  <c r="D17" i="2"/>
  <c r="C17" i="2"/>
  <c r="B17" i="2"/>
  <c r="D16" i="2"/>
  <c r="C16" i="2"/>
  <c r="B16" i="2"/>
  <c r="D15" i="2"/>
  <c r="C15" i="2"/>
  <c r="B15" i="2"/>
  <c r="D14" i="2"/>
  <c r="C14" i="2"/>
  <c r="B14" i="2"/>
  <c r="G10" i="2"/>
  <c r="F10" i="2"/>
  <c r="E10" i="2"/>
  <c r="D10" i="2"/>
  <c r="C10" i="2"/>
  <c r="B10" i="2"/>
  <c r="G9" i="2"/>
  <c r="F9" i="2"/>
  <c r="E9" i="2"/>
  <c r="D9" i="2"/>
  <c r="C9" i="2"/>
  <c r="B9" i="2"/>
  <c r="B6" i="2"/>
  <c r="E4" i="2"/>
  <c r="B4" i="2"/>
  <c r="CD204" i="1"/>
  <c r="CC204" i="1"/>
  <c r="CB204" i="1"/>
  <c r="CA204" i="1"/>
  <c r="BZ204" i="1"/>
  <c r="BY204" i="1"/>
  <c r="BX204" i="1"/>
  <c r="BW204" i="1"/>
  <c r="BV204" i="1"/>
  <c r="BU204" i="1"/>
  <c r="BT204" i="1"/>
  <c r="BS204" i="1"/>
  <c r="BR204" i="1"/>
  <c r="BQ204" i="1"/>
  <c r="BP204" i="1"/>
  <c r="BO204" i="1"/>
  <c r="BN204" i="1"/>
  <c r="BM204" i="1"/>
  <c r="BL204" i="1"/>
  <c r="BK204" i="1"/>
  <c r="BJ204" i="1"/>
  <c r="BI204" i="1"/>
  <c r="BH204" i="1"/>
  <c r="BG204" i="1"/>
  <c r="BC204" i="1"/>
  <c r="BD204" i="1" s="1"/>
  <c r="CD203" i="1"/>
  <c r="CC203" i="1"/>
  <c r="CB203" i="1"/>
  <c r="CA203" i="1"/>
  <c r="BZ203" i="1"/>
  <c r="BY203" i="1"/>
  <c r="BX203" i="1"/>
  <c r="BW203" i="1"/>
  <c r="BV203" i="1"/>
  <c r="BU203" i="1"/>
  <c r="BT203" i="1"/>
  <c r="BS203" i="1"/>
  <c r="BR203" i="1"/>
  <c r="BQ203" i="1"/>
  <c r="BP203" i="1"/>
  <c r="BO203" i="1"/>
  <c r="BN203" i="1"/>
  <c r="BM203" i="1"/>
  <c r="BL203" i="1"/>
  <c r="BK203" i="1"/>
  <c r="BJ203" i="1"/>
  <c r="BI203" i="1"/>
  <c r="BH203" i="1"/>
  <c r="BG203" i="1"/>
  <c r="BC203" i="1" s="1"/>
  <c r="BD203" i="1" s="1"/>
  <c r="CD202" i="1"/>
  <c r="CC202" i="1"/>
  <c r="CB202" i="1"/>
  <c r="CA202" i="1"/>
  <c r="BZ202" i="1"/>
  <c r="BY202" i="1"/>
  <c r="BX202" i="1"/>
  <c r="BW202" i="1"/>
  <c r="BV202" i="1"/>
  <c r="BU202" i="1"/>
  <c r="BT202" i="1"/>
  <c r="BS202" i="1"/>
  <c r="BR202" i="1"/>
  <c r="BQ202" i="1"/>
  <c r="BP202" i="1"/>
  <c r="BO202" i="1"/>
  <c r="BN202" i="1"/>
  <c r="BM202" i="1"/>
  <c r="BL202" i="1"/>
  <c r="BK202" i="1"/>
  <c r="BJ202" i="1"/>
  <c r="BI202" i="1"/>
  <c r="BH202" i="1"/>
  <c r="BG202" i="1"/>
  <c r="BC202" i="1" s="1"/>
  <c r="BD202" i="1" s="1"/>
  <c r="CD201" i="1"/>
  <c r="CC201" i="1"/>
  <c r="CB201" i="1"/>
  <c r="CA201" i="1"/>
  <c r="BZ201" i="1"/>
  <c r="BY201" i="1"/>
  <c r="BX201" i="1"/>
  <c r="BW201" i="1"/>
  <c r="BV201" i="1"/>
  <c r="BU201" i="1"/>
  <c r="BT201" i="1"/>
  <c r="BS201" i="1"/>
  <c r="BR201" i="1"/>
  <c r="BQ201" i="1"/>
  <c r="BP201" i="1"/>
  <c r="BO201" i="1"/>
  <c r="BN201" i="1"/>
  <c r="BM201" i="1"/>
  <c r="BL201" i="1"/>
  <c r="BK201" i="1"/>
  <c r="BC201" i="1" s="1"/>
  <c r="BD201" i="1" s="1"/>
  <c r="BJ201" i="1"/>
  <c r="BI201" i="1"/>
  <c r="BH201" i="1"/>
  <c r="BG201" i="1"/>
  <c r="CD200" i="1"/>
  <c r="CC200" i="1"/>
  <c r="CB200" i="1"/>
  <c r="CA200" i="1"/>
  <c r="BZ200" i="1"/>
  <c r="BY200" i="1"/>
  <c r="BX200" i="1"/>
  <c r="BW200" i="1"/>
  <c r="BV200" i="1"/>
  <c r="BU200" i="1"/>
  <c r="BT200" i="1"/>
  <c r="BS200" i="1"/>
  <c r="BR200" i="1"/>
  <c r="BQ200" i="1"/>
  <c r="BP200" i="1"/>
  <c r="BO200" i="1"/>
  <c r="BN200" i="1"/>
  <c r="BM200" i="1"/>
  <c r="BL200" i="1"/>
  <c r="BK200" i="1"/>
  <c r="BJ200" i="1"/>
  <c r="BI200" i="1"/>
  <c r="BH200" i="1"/>
  <c r="BG200" i="1"/>
  <c r="BC200" i="1"/>
  <c r="BD200" i="1" s="1"/>
  <c r="CD199" i="1"/>
  <c r="CC199" i="1"/>
  <c r="CB199" i="1"/>
  <c r="CA199" i="1"/>
  <c r="BZ199" i="1"/>
  <c r="BY199" i="1"/>
  <c r="BX199" i="1"/>
  <c r="BW199" i="1"/>
  <c r="BV199" i="1"/>
  <c r="BU199" i="1"/>
  <c r="BT199" i="1"/>
  <c r="BS199" i="1"/>
  <c r="BR199" i="1"/>
  <c r="BQ199" i="1"/>
  <c r="BP199" i="1"/>
  <c r="BO199" i="1"/>
  <c r="BN199" i="1"/>
  <c r="BM199" i="1"/>
  <c r="BL199" i="1"/>
  <c r="BK199" i="1"/>
  <c r="BJ199" i="1"/>
  <c r="BI199" i="1"/>
  <c r="BH199" i="1"/>
  <c r="BG199" i="1"/>
  <c r="BC199" i="1"/>
  <c r="BD199" i="1" s="1"/>
  <c r="CD198" i="1"/>
  <c r="CC198" i="1"/>
  <c r="CB198" i="1"/>
  <c r="CA198" i="1"/>
  <c r="BZ198" i="1"/>
  <c r="BY198" i="1"/>
  <c r="BX198" i="1"/>
  <c r="BW198" i="1"/>
  <c r="BV198" i="1"/>
  <c r="BU198" i="1"/>
  <c r="BT198" i="1"/>
  <c r="BS198" i="1"/>
  <c r="BR198" i="1"/>
  <c r="BQ198" i="1"/>
  <c r="BP198" i="1"/>
  <c r="BO198" i="1"/>
  <c r="BN198" i="1"/>
  <c r="BM198" i="1"/>
  <c r="BL198" i="1"/>
  <c r="BK198" i="1"/>
  <c r="BJ198" i="1"/>
  <c r="BI198" i="1"/>
  <c r="BH198" i="1"/>
  <c r="BG198" i="1"/>
  <c r="BC198" i="1"/>
  <c r="BD198" i="1" s="1"/>
  <c r="CD197" i="1"/>
  <c r="CC197" i="1"/>
  <c r="CB197" i="1"/>
  <c r="CA197" i="1"/>
  <c r="BZ197" i="1"/>
  <c r="BY197" i="1"/>
  <c r="BX197" i="1"/>
  <c r="BW197" i="1"/>
  <c r="BV197" i="1"/>
  <c r="BU197" i="1"/>
  <c r="BT197" i="1"/>
  <c r="BS197" i="1"/>
  <c r="BR197" i="1"/>
  <c r="BQ197" i="1"/>
  <c r="BP197" i="1"/>
  <c r="BO197" i="1"/>
  <c r="BN197" i="1"/>
  <c r="BM197" i="1"/>
  <c r="BL197" i="1"/>
  <c r="BK197" i="1"/>
  <c r="BJ197" i="1"/>
  <c r="BI197" i="1"/>
  <c r="BH197" i="1"/>
  <c r="BG197" i="1"/>
  <c r="BC197" i="1"/>
  <c r="BD197" i="1" s="1"/>
  <c r="CD196" i="1"/>
  <c r="CC196" i="1"/>
  <c r="CB196" i="1"/>
  <c r="CA196" i="1"/>
  <c r="BZ196" i="1"/>
  <c r="BY196" i="1"/>
  <c r="BX196" i="1"/>
  <c r="BW196" i="1"/>
  <c r="BV196" i="1"/>
  <c r="BU196" i="1"/>
  <c r="BT196" i="1"/>
  <c r="BS196" i="1"/>
  <c r="BR196" i="1"/>
  <c r="BQ196" i="1"/>
  <c r="BP196" i="1"/>
  <c r="BO196" i="1"/>
  <c r="BN196" i="1"/>
  <c r="BM196" i="1"/>
  <c r="BL196" i="1"/>
  <c r="BK196" i="1"/>
  <c r="BJ196" i="1"/>
  <c r="BI196" i="1"/>
  <c r="BH196" i="1"/>
  <c r="BG196" i="1"/>
  <c r="BC196" i="1"/>
  <c r="BD196" i="1" s="1"/>
  <c r="CD195" i="1"/>
  <c r="CC195" i="1"/>
  <c r="CB195" i="1"/>
  <c r="CA195" i="1"/>
  <c r="BZ195" i="1"/>
  <c r="BY195" i="1"/>
  <c r="BX195" i="1"/>
  <c r="BW195" i="1"/>
  <c r="BV195" i="1"/>
  <c r="BU195" i="1"/>
  <c r="BT195" i="1"/>
  <c r="BS195" i="1"/>
  <c r="BR195" i="1"/>
  <c r="BQ195" i="1"/>
  <c r="BP195" i="1"/>
  <c r="BO195" i="1"/>
  <c r="BN195" i="1"/>
  <c r="BM195" i="1"/>
  <c r="BL195" i="1"/>
  <c r="BK195" i="1"/>
  <c r="BJ195" i="1"/>
  <c r="BI195" i="1"/>
  <c r="BH195" i="1"/>
  <c r="BG195" i="1"/>
  <c r="BC195" i="1"/>
  <c r="BD195" i="1" s="1"/>
  <c r="CD194" i="1"/>
  <c r="CC194" i="1"/>
  <c r="CB194" i="1"/>
  <c r="CA194" i="1"/>
  <c r="BZ194" i="1"/>
  <c r="BY194" i="1"/>
  <c r="BX194" i="1"/>
  <c r="BW194" i="1"/>
  <c r="BV194" i="1"/>
  <c r="BU194" i="1"/>
  <c r="BT194" i="1"/>
  <c r="BS194" i="1"/>
  <c r="BR194" i="1"/>
  <c r="BQ194" i="1"/>
  <c r="BP194" i="1"/>
  <c r="BO194" i="1"/>
  <c r="BN194" i="1"/>
  <c r="BM194" i="1"/>
  <c r="BL194" i="1"/>
  <c r="BK194" i="1"/>
  <c r="BJ194" i="1"/>
  <c r="BI194" i="1"/>
  <c r="BH194" i="1"/>
  <c r="BG194" i="1"/>
  <c r="BC194" i="1"/>
  <c r="BD194" i="1" s="1"/>
  <c r="CD193" i="1"/>
  <c r="CC193" i="1"/>
  <c r="CB193" i="1"/>
  <c r="CA193" i="1"/>
  <c r="BZ193" i="1"/>
  <c r="BY193" i="1"/>
  <c r="BX193" i="1"/>
  <c r="BW193" i="1"/>
  <c r="BV193" i="1"/>
  <c r="BU193" i="1"/>
  <c r="BT193" i="1"/>
  <c r="BS193" i="1"/>
  <c r="BR193" i="1"/>
  <c r="BQ193" i="1"/>
  <c r="BP193" i="1"/>
  <c r="BO193" i="1"/>
  <c r="BN193" i="1"/>
  <c r="BM193" i="1"/>
  <c r="BL193" i="1"/>
  <c r="BK193" i="1"/>
  <c r="BJ193" i="1"/>
  <c r="BI193" i="1"/>
  <c r="BH193" i="1"/>
  <c r="BG193" i="1"/>
  <c r="BC193" i="1"/>
  <c r="BD193" i="1" s="1"/>
  <c r="CD192" i="1"/>
  <c r="CC192" i="1"/>
  <c r="CB192" i="1"/>
  <c r="CA192" i="1"/>
  <c r="BZ192" i="1"/>
  <c r="BY192" i="1"/>
  <c r="BX192" i="1"/>
  <c r="BW192" i="1"/>
  <c r="BV192" i="1"/>
  <c r="BU192" i="1"/>
  <c r="BT192" i="1"/>
  <c r="BS192" i="1"/>
  <c r="BR192" i="1"/>
  <c r="BQ192" i="1"/>
  <c r="BP192" i="1"/>
  <c r="BO192" i="1"/>
  <c r="BN192" i="1"/>
  <c r="BM192" i="1"/>
  <c r="BL192" i="1"/>
  <c r="BK192" i="1"/>
  <c r="BJ192" i="1"/>
  <c r="BI192" i="1"/>
  <c r="BH192" i="1"/>
  <c r="BG192" i="1"/>
  <c r="BC192" i="1"/>
  <c r="BD192" i="1" s="1"/>
  <c r="CD191" i="1"/>
  <c r="CC191" i="1"/>
  <c r="CB191" i="1"/>
  <c r="CA191" i="1"/>
  <c r="BZ191" i="1"/>
  <c r="BY191" i="1"/>
  <c r="BX191" i="1"/>
  <c r="BW191" i="1"/>
  <c r="BV191" i="1"/>
  <c r="BU191" i="1"/>
  <c r="BT191" i="1"/>
  <c r="BS191" i="1"/>
  <c r="BR191" i="1"/>
  <c r="BQ191" i="1"/>
  <c r="BP191" i="1"/>
  <c r="BO191" i="1"/>
  <c r="BN191" i="1"/>
  <c r="BM191" i="1"/>
  <c r="BL191" i="1"/>
  <c r="BK191" i="1"/>
  <c r="BJ191" i="1"/>
  <c r="BI191" i="1"/>
  <c r="BH191" i="1"/>
  <c r="BG191" i="1"/>
  <c r="BC191" i="1"/>
  <c r="BD191" i="1" s="1"/>
  <c r="CD190" i="1"/>
  <c r="CC190" i="1"/>
  <c r="CB190" i="1"/>
  <c r="CA190" i="1"/>
  <c r="BZ190" i="1"/>
  <c r="BY190" i="1"/>
  <c r="BX190" i="1"/>
  <c r="BW190" i="1"/>
  <c r="BV190" i="1"/>
  <c r="BU190" i="1"/>
  <c r="BT190" i="1"/>
  <c r="BS190" i="1"/>
  <c r="BR190" i="1"/>
  <c r="BQ190" i="1"/>
  <c r="BP190" i="1"/>
  <c r="BO190" i="1"/>
  <c r="BN190" i="1"/>
  <c r="BM190" i="1"/>
  <c r="BL190" i="1"/>
  <c r="BK190" i="1"/>
  <c r="BJ190" i="1"/>
  <c r="BI190" i="1"/>
  <c r="BH190" i="1"/>
  <c r="BG190" i="1"/>
  <c r="BC190" i="1"/>
  <c r="BD190" i="1" s="1"/>
  <c r="CD189" i="1"/>
  <c r="CC189" i="1"/>
  <c r="CB189" i="1"/>
  <c r="CA189" i="1"/>
  <c r="BZ189" i="1"/>
  <c r="BY189" i="1"/>
  <c r="BX189" i="1"/>
  <c r="BW189" i="1"/>
  <c r="BV189" i="1"/>
  <c r="BU189" i="1"/>
  <c r="BT189" i="1"/>
  <c r="BS189" i="1"/>
  <c r="BR189" i="1"/>
  <c r="BQ189" i="1"/>
  <c r="BP189" i="1"/>
  <c r="BO189" i="1"/>
  <c r="BN189" i="1"/>
  <c r="BM189" i="1"/>
  <c r="BL189" i="1"/>
  <c r="BK189" i="1"/>
  <c r="BJ189" i="1"/>
  <c r="BI189" i="1"/>
  <c r="BH189" i="1"/>
  <c r="BG189" i="1"/>
  <c r="BC189" i="1"/>
  <c r="BD189" i="1" s="1"/>
  <c r="CD188" i="1"/>
  <c r="CC188" i="1"/>
  <c r="CB188" i="1"/>
  <c r="CA188" i="1"/>
  <c r="BZ188" i="1"/>
  <c r="BY188" i="1"/>
  <c r="BX188" i="1"/>
  <c r="BW188" i="1"/>
  <c r="BV188" i="1"/>
  <c r="BU188" i="1"/>
  <c r="BT188" i="1"/>
  <c r="BS188" i="1"/>
  <c r="BR188" i="1"/>
  <c r="BQ188" i="1"/>
  <c r="BP188" i="1"/>
  <c r="BO188" i="1"/>
  <c r="BN188" i="1"/>
  <c r="BM188" i="1"/>
  <c r="BL188" i="1"/>
  <c r="BK188" i="1"/>
  <c r="BJ188" i="1"/>
  <c r="BI188" i="1"/>
  <c r="BH188" i="1"/>
  <c r="BG188" i="1"/>
  <c r="BC188" i="1"/>
  <c r="BD188" i="1" s="1"/>
  <c r="CD187" i="1"/>
  <c r="CC187" i="1"/>
  <c r="CB187" i="1"/>
  <c r="CA187" i="1"/>
  <c r="BZ187" i="1"/>
  <c r="BY187" i="1"/>
  <c r="BX187" i="1"/>
  <c r="BW187" i="1"/>
  <c r="BV187" i="1"/>
  <c r="BU187" i="1"/>
  <c r="BT187" i="1"/>
  <c r="BS187" i="1"/>
  <c r="BR187" i="1"/>
  <c r="BQ187" i="1"/>
  <c r="BP187" i="1"/>
  <c r="BO187" i="1"/>
  <c r="BN187" i="1"/>
  <c r="BM187" i="1"/>
  <c r="BL187" i="1"/>
  <c r="BK187" i="1"/>
  <c r="BJ187" i="1"/>
  <c r="BI187" i="1"/>
  <c r="BH187" i="1"/>
  <c r="BG187" i="1"/>
  <c r="BC187" i="1"/>
  <c r="BD187" i="1" s="1"/>
  <c r="CD186" i="1"/>
  <c r="CC186" i="1"/>
  <c r="CB186" i="1"/>
  <c r="CA186" i="1"/>
  <c r="BZ186" i="1"/>
  <c r="BY186" i="1"/>
  <c r="BX186" i="1"/>
  <c r="BW186" i="1"/>
  <c r="BV186" i="1"/>
  <c r="BU186" i="1"/>
  <c r="BT186" i="1"/>
  <c r="BS186" i="1"/>
  <c r="BR186" i="1"/>
  <c r="BQ186" i="1"/>
  <c r="BP186" i="1"/>
  <c r="BO186" i="1"/>
  <c r="BN186" i="1"/>
  <c r="BM186" i="1"/>
  <c r="BL186" i="1"/>
  <c r="BK186" i="1"/>
  <c r="BJ186" i="1"/>
  <c r="BI186" i="1"/>
  <c r="BH186" i="1"/>
  <c r="BG186" i="1"/>
  <c r="BC186" i="1"/>
  <c r="BD186" i="1" s="1"/>
  <c r="CD185" i="1"/>
  <c r="CC185" i="1"/>
  <c r="CB185" i="1"/>
  <c r="CA185" i="1"/>
  <c r="BZ185" i="1"/>
  <c r="BY185" i="1"/>
  <c r="BX185" i="1"/>
  <c r="BW185" i="1"/>
  <c r="BV185" i="1"/>
  <c r="BU185" i="1"/>
  <c r="BT185" i="1"/>
  <c r="BS185" i="1"/>
  <c r="BR185" i="1"/>
  <c r="BQ185" i="1"/>
  <c r="BP185" i="1"/>
  <c r="BO185" i="1"/>
  <c r="BN185" i="1"/>
  <c r="BM185" i="1"/>
  <c r="BL185" i="1"/>
  <c r="BK185" i="1"/>
  <c r="BJ185" i="1"/>
  <c r="BI185" i="1"/>
  <c r="BH185" i="1"/>
  <c r="BG185" i="1"/>
  <c r="BC185" i="1"/>
  <c r="BD185" i="1" s="1"/>
  <c r="CD184" i="1"/>
  <c r="CC184" i="1"/>
  <c r="CB184" i="1"/>
  <c r="CA184" i="1"/>
  <c r="BZ184" i="1"/>
  <c r="BY184" i="1"/>
  <c r="BX184" i="1"/>
  <c r="BW184" i="1"/>
  <c r="BV184" i="1"/>
  <c r="BU184" i="1"/>
  <c r="BT184" i="1"/>
  <c r="BS184" i="1"/>
  <c r="BR184" i="1"/>
  <c r="BQ184" i="1"/>
  <c r="BP184" i="1"/>
  <c r="BO184" i="1"/>
  <c r="BN184" i="1"/>
  <c r="BM184" i="1"/>
  <c r="BL184" i="1"/>
  <c r="BK184" i="1"/>
  <c r="BJ184" i="1"/>
  <c r="BI184" i="1"/>
  <c r="BH184" i="1"/>
  <c r="BG184" i="1"/>
  <c r="BC184" i="1"/>
  <c r="BD184" i="1" s="1"/>
  <c r="CD183" i="1"/>
  <c r="CC183" i="1"/>
  <c r="CB183" i="1"/>
  <c r="CA183" i="1"/>
  <c r="BZ183" i="1"/>
  <c r="BY183" i="1"/>
  <c r="BX183" i="1"/>
  <c r="BW183" i="1"/>
  <c r="BV183" i="1"/>
  <c r="BU183" i="1"/>
  <c r="BT183" i="1"/>
  <c r="BS183" i="1"/>
  <c r="BR183" i="1"/>
  <c r="BQ183" i="1"/>
  <c r="BP183" i="1"/>
  <c r="BO183" i="1"/>
  <c r="BN183" i="1"/>
  <c r="BM183" i="1"/>
  <c r="BL183" i="1"/>
  <c r="BK183" i="1"/>
  <c r="BJ183" i="1"/>
  <c r="BI183" i="1"/>
  <c r="BH183" i="1"/>
  <c r="BG183" i="1"/>
  <c r="BC183" i="1"/>
  <c r="BD183" i="1" s="1"/>
  <c r="CD182" i="1"/>
  <c r="CC182" i="1"/>
  <c r="CB182" i="1"/>
  <c r="CA182" i="1"/>
  <c r="BZ182" i="1"/>
  <c r="BY182" i="1"/>
  <c r="BX182" i="1"/>
  <c r="BW182" i="1"/>
  <c r="BV182" i="1"/>
  <c r="BU182" i="1"/>
  <c r="BT182" i="1"/>
  <c r="BS182" i="1"/>
  <c r="BR182" i="1"/>
  <c r="BQ182" i="1"/>
  <c r="BP182" i="1"/>
  <c r="BO182" i="1"/>
  <c r="BN182" i="1"/>
  <c r="BM182" i="1"/>
  <c r="BL182" i="1"/>
  <c r="BK182" i="1"/>
  <c r="BJ182" i="1"/>
  <c r="BI182" i="1"/>
  <c r="BH182" i="1"/>
  <c r="BG182" i="1"/>
  <c r="BC182" i="1"/>
  <c r="BD182" i="1" s="1"/>
  <c r="CD181" i="1"/>
  <c r="CC181" i="1"/>
  <c r="CB181" i="1"/>
  <c r="CA181" i="1"/>
  <c r="BZ181" i="1"/>
  <c r="BY181" i="1"/>
  <c r="BX181" i="1"/>
  <c r="BW181" i="1"/>
  <c r="BV181" i="1"/>
  <c r="BU181" i="1"/>
  <c r="BT181" i="1"/>
  <c r="BS181" i="1"/>
  <c r="BR181" i="1"/>
  <c r="BQ181" i="1"/>
  <c r="BP181" i="1"/>
  <c r="BO181" i="1"/>
  <c r="BN181" i="1"/>
  <c r="BM181" i="1"/>
  <c r="BL181" i="1"/>
  <c r="BK181" i="1"/>
  <c r="BJ181" i="1"/>
  <c r="BI181" i="1"/>
  <c r="BH181" i="1"/>
  <c r="BG181" i="1"/>
  <c r="BC181" i="1"/>
  <c r="BD181" i="1" s="1"/>
  <c r="CD180" i="1"/>
  <c r="CC180" i="1"/>
  <c r="CB180" i="1"/>
  <c r="CA180" i="1"/>
  <c r="BZ180" i="1"/>
  <c r="BY180" i="1"/>
  <c r="BX180" i="1"/>
  <c r="BW180" i="1"/>
  <c r="BV180" i="1"/>
  <c r="BU180" i="1"/>
  <c r="BT180" i="1"/>
  <c r="BS180" i="1"/>
  <c r="BR180" i="1"/>
  <c r="BQ180" i="1"/>
  <c r="BP180" i="1"/>
  <c r="BO180" i="1"/>
  <c r="BN180" i="1"/>
  <c r="BM180" i="1"/>
  <c r="BL180" i="1"/>
  <c r="BK180" i="1"/>
  <c r="BJ180" i="1"/>
  <c r="BI180" i="1"/>
  <c r="BH180" i="1"/>
  <c r="BG180" i="1"/>
  <c r="BC180" i="1"/>
  <c r="BD180" i="1" s="1"/>
  <c r="CD179" i="1"/>
  <c r="CC179" i="1"/>
  <c r="CB179" i="1"/>
  <c r="CA179" i="1"/>
  <c r="BZ179" i="1"/>
  <c r="BY179" i="1"/>
  <c r="BX179" i="1"/>
  <c r="BW179" i="1"/>
  <c r="BV179" i="1"/>
  <c r="BU179" i="1"/>
  <c r="BT179" i="1"/>
  <c r="BS179" i="1"/>
  <c r="BR179" i="1"/>
  <c r="BQ179" i="1"/>
  <c r="BP179" i="1"/>
  <c r="BO179" i="1"/>
  <c r="BN179" i="1"/>
  <c r="BM179" i="1"/>
  <c r="BL179" i="1"/>
  <c r="BK179" i="1"/>
  <c r="BJ179" i="1"/>
  <c r="BI179" i="1"/>
  <c r="BH179" i="1"/>
  <c r="BG179" i="1"/>
  <c r="BC179" i="1"/>
  <c r="BD179" i="1" s="1"/>
  <c r="CD178" i="1"/>
  <c r="CC178" i="1"/>
  <c r="CB178" i="1"/>
  <c r="CA178" i="1"/>
  <c r="BZ178" i="1"/>
  <c r="BY178" i="1"/>
  <c r="BX178" i="1"/>
  <c r="BW178" i="1"/>
  <c r="BV178" i="1"/>
  <c r="BU178" i="1"/>
  <c r="BT178" i="1"/>
  <c r="BS178" i="1"/>
  <c r="BR178" i="1"/>
  <c r="BQ178" i="1"/>
  <c r="BP178" i="1"/>
  <c r="BO178" i="1"/>
  <c r="BN178" i="1"/>
  <c r="BM178" i="1"/>
  <c r="BL178" i="1"/>
  <c r="BK178" i="1"/>
  <c r="BJ178" i="1"/>
  <c r="BI178" i="1"/>
  <c r="BH178" i="1"/>
  <c r="BG178" i="1"/>
  <c r="BC178" i="1"/>
  <c r="BD178" i="1" s="1"/>
  <c r="CD177" i="1"/>
  <c r="CC177" i="1"/>
  <c r="CB177" i="1"/>
  <c r="CA177" i="1"/>
  <c r="BZ177" i="1"/>
  <c r="BY177" i="1"/>
  <c r="BX177" i="1"/>
  <c r="BW177" i="1"/>
  <c r="BV177" i="1"/>
  <c r="BU177" i="1"/>
  <c r="BT177" i="1"/>
  <c r="BS177" i="1"/>
  <c r="BR177" i="1"/>
  <c r="BQ177" i="1"/>
  <c r="BP177" i="1"/>
  <c r="BO177" i="1"/>
  <c r="BN177" i="1"/>
  <c r="BM177" i="1"/>
  <c r="BL177" i="1"/>
  <c r="BK177" i="1"/>
  <c r="BJ177" i="1"/>
  <c r="BI177" i="1"/>
  <c r="BH177" i="1"/>
  <c r="BG177" i="1"/>
  <c r="BC177" i="1"/>
  <c r="BD177" i="1" s="1"/>
  <c r="CD176" i="1"/>
  <c r="CC176" i="1"/>
  <c r="CB176" i="1"/>
  <c r="CA176" i="1"/>
  <c r="BZ176" i="1"/>
  <c r="BY176" i="1"/>
  <c r="BX176" i="1"/>
  <c r="BW176" i="1"/>
  <c r="BV176" i="1"/>
  <c r="BU176" i="1"/>
  <c r="BT176" i="1"/>
  <c r="BS176" i="1"/>
  <c r="BR176" i="1"/>
  <c r="BQ176" i="1"/>
  <c r="BP176" i="1"/>
  <c r="BO176" i="1"/>
  <c r="BN176" i="1"/>
  <c r="BM176" i="1"/>
  <c r="BL176" i="1"/>
  <c r="BK176" i="1"/>
  <c r="BJ176" i="1"/>
  <c r="BI176" i="1"/>
  <c r="BH176" i="1"/>
  <c r="BG176" i="1"/>
  <c r="BC176" i="1"/>
  <c r="BD176" i="1" s="1"/>
  <c r="CD175" i="1"/>
  <c r="CC175" i="1"/>
  <c r="CB175" i="1"/>
  <c r="CA175" i="1"/>
  <c r="BZ175" i="1"/>
  <c r="BY175" i="1"/>
  <c r="BX175" i="1"/>
  <c r="BW175" i="1"/>
  <c r="BV175" i="1"/>
  <c r="BU175" i="1"/>
  <c r="BT175" i="1"/>
  <c r="BS175" i="1"/>
  <c r="BR175" i="1"/>
  <c r="BQ175" i="1"/>
  <c r="BP175" i="1"/>
  <c r="BO175" i="1"/>
  <c r="BN175" i="1"/>
  <c r="BM175" i="1"/>
  <c r="BL175" i="1"/>
  <c r="BK175" i="1"/>
  <c r="BJ175" i="1"/>
  <c r="BI175" i="1"/>
  <c r="BH175" i="1"/>
  <c r="BG175" i="1"/>
  <c r="BC175" i="1"/>
  <c r="BD175" i="1" s="1"/>
  <c r="CD174" i="1"/>
  <c r="CC174" i="1"/>
  <c r="CB174" i="1"/>
  <c r="CA174" i="1"/>
  <c r="BZ174" i="1"/>
  <c r="BY174" i="1"/>
  <c r="BX174" i="1"/>
  <c r="BW174" i="1"/>
  <c r="BV174" i="1"/>
  <c r="BU174" i="1"/>
  <c r="BT174" i="1"/>
  <c r="BS174" i="1"/>
  <c r="BR174" i="1"/>
  <c r="BQ174" i="1"/>
  <c r="BP174" i="1"/>
  <c r="BO174" i="1"/>
  <c r="BN174" i="1"/>
  <c r="BM174" i="1"/>
  <c r="BL174" i="1"/>
  <c r="BK174" i="1"/>
  <c r="BJ174" i="1"/>
  <c r="BI174" i="1"/>
  <c r="BH174" i="1"/>
  <c r="BG174" i="1"/>
  <c r="BC174" i="1"/>
  <c r="BD174" i="1" s="1"/>
  <c r="CD173" i="1"/>
  <c r="CC173" i="1"/>
  <c r="CB173" i="1"/>
  <c r="CA173" i="1"/>
  <c r="BZ173" i="1"/>
  <c r="BY173" i="1"/>
  <c r="BX173" i="1"/>
  <c r="BW173" i="1"/>
  <c r="BV173" i="1"/>
  <c r="BU173" i="1"/>
  <c r="BT173" i="1"/>
  <c r="BS173" i="1"/>
  <c r="BR173" i="1"/>
  <c r="BQ173" i="1"/>
  <c r="BP173" i="1"/>
  <c r="BO173" i="1"/>
  <c r="BN173" i="1"/>
  <c r="BM173" i="1"/>
  <c r="BL173" i="1"/>
  <c r="BK173" i="1"/>
  <c r="BJ173" i="1"/>
  <c r="BI173" i="1"/>
  <c r="BH173" i="1"/>
  <c r="BG173" i="1"/>
  <c r="BC173" i="1"/>
  <c r="BD173" i="1" s="1"/>
  <c r="CD172" i="1"/>
  <c r="CC172" i="1"/>
  <c r="CB172" i="1"/>
  <c r="CA172" i="1"/>
  <c r="BZ172" i="1"/>
  <c r="BY172" i="1"/>
  <c r="BX172" i="1"/>
  <c r="BW172" i="1"/>
  <c r="BV172" i="1"/>
  <c r="BU172" i="1"/>
  <c r="BT172" i="1"/>
  <c r="BS172" i="1"/>
  <c r="BR172" i="1"/>
  <c r="BQ172" i="1"/>
  <c r="BP172" i="1"/>
  <c r="BO172" i="1"/>
  <c r="BN172" i="1"/>
  <c r="BM172" i="1"/>
  <c r="BL172" i="1"/>
  <c r="BK172" i="1"/>
  <c r="BJ172" i="1"/>
  <c r="BI172" i="1"/>
  <c r="BH172" i="1"/>
  <c r="BG172" i="1"/>
  <c r="BC172" i="1"/>
  <c r="BD172" i="1" s="1"/>
  <c r="CD171" i="1"/>
  <c r="CC171" i="1"/>
  <c r="CB171" i="1"/>
  <c r="CA171" i="1"/>
  <c r="BZ171" i="1"/>
  <c r="BY171" i="1"/>
  <c r="BX171" i="1"/>
  <c r="BW171" i="1"/>
  <c r="BV171" i="1"/>
  <c r="BU171" i="1"/>
  <c r="BT171" i="1"/>
  <c r="BS171" i="1"/>
  <c r="BR171" i="1"/>
  <c r="BQ171" i="1"/>
  <c r="BP171" i="1"/>
  <c r="BO171" i="1"/>
  <c r="BN171" i="1"/>
  <c r="BM171" i="1"/>
  <c r="BL171" i="1"/>
  <c r="BK171" i="1"/>
  <c r="BJ171" i="1"/>
  <c r="BI171" i="1"/>
  <c r="BH171" i="1"/>
  <c r="BG171" i="1"/>
  <c r="BC171" i="1"/>
  <c r="BD171" i="1" s="1"/>
  <c r="CD170" i="1"/>
  <c r="CC170" i="1"/>
  <c r="CB170" i="1"/>
  <c r="CA170" i="1"/>
  <c r="BZ170" i="1"/>
  <c r="BY170" i="1"/>
  <c r="BX170" i="1"/>
  <c r="BW170" i="1"/>
  <c r="BV170" i="1"/>
  <c r="BU170" i="1"/>
  <c r="BT170" i="1"/>
  <c r="BS170" i="1"/>
  <c r="BR170" i="1"/>
  <c r="BQ170" i="1"/>
  <c r="BP170" i="1"/>
  <c r="BO170" i="1"/>
  <c r="BN170" i="1"/>
  <c r="BM170" i="1"/>
  <c r="BL170" i="1"/>
  <c r="BK170" i="1"/>
  <c r="BJ170" i="1"/>
  <c r="BI170" i="1"/>
  <c r="BH170" i="1"/>
  <c r="BG170" i="1"/>
  <c r="BC170" i="1"/>
  <c r="BD170" i="1" s="1"/>
  <c r="CD169" i="1"/>
  <c r="CC169" i="1"/>
  <c r="CB169" i="1"/>
  <c r="CA169" i="1"/>
  <c r="BZ169" i="1"/>
  <c r="BY169" i="1"/>
  <c r="BX169" i="1"/>
  <c r="BW169" i="1"/>
  <c r="BV169" i="1"/>
  <c r="BU169" i="1"/>
  <c r="BT169" i="1"/>
  <c r="BS169" i="1"/>
  <c r="BR169" i="1"/>
  <c r="BQ169" i="1"/>
  <c r="BP169" i="1"/>
  <c r="BO169" i="1"/>
  <c r="BN169" i="1"/>
  <c r="BM169" i="1"/>
  <c r="BL169" i="1"/>
  <c r="BK169" i="1"/>
  <c r="BJ169" i="1"/>
  <c r="BI169" i="1"/>
  <c r="BH169" i="1"/>
  <c r="BG169" i="1"/>
  <c r="BC169" i="1"/>
  <c r="BD169" i="1" s="1"/>
  <c r="CD168" i="1"/>
  <c r="CC168" i="1"/>
  <c r="CB168" i="1"/>
  <c r="CA168" i="1"/>
  <c r="BZ168" i="1"/>
  <c r="BY168" i="1"/>
  <c r="BX168" i="1"/>
  <c r="BW168" i="1"/>
  <c r="BV168" i="1"/>
  <c r="BU168" i="1"/>
  <c r="BT168" i="1"/>
  <c r="BS168" i="1"/>
  <c r="BR168" i="1"/>
  <c r="BQ168" i="1"/>
  <c r="BP168" i="1"/>
  <c r="BO168" i="1"/>
  <c r="BN168" i="1"/>
  <c r="BM168" i="1"/>
  <c r="BL168" i="1"/>
  <c r="BK168" i="1"/>
  <c r="BJ168" i="1"/>
  <c r="BI168" i="1"/>
  <c r="BH168" i="1"/>
  <c r="BG168" i="1"/>
  <c r="BC168" i="1"/>
  <c r="BD168" i="1" s="1"/>
  <c r="CD167" i="1"/>
  <c r="CC167" i="1"/>
  <c r="CB167" i="1"/>
  <c r="CA167" i="1"/>
  <c r="BZ167" i="1"/>
  <c r="BY167" i="1"/>
  <c r="BX167" i="1"/>
  <c r="BW167" i="1"/>
  <c r="BV167" i="1"/>
  <c r="BU167" i="1"/>
  <c r="BT167" i="1"/>
  <c r="BS167" i="1"/>
  <c r="BR167" i="1"/>
  <c r="BQ167" i="1"/>
  <c r="BP167" i="1"/>
  <c r="BO167" i="1"/>
  <c r="BN167" i="1"/>
  <c r="BM167" i="1"/>
  <c r="BL167" i="1"/>
  <c r="BK167" i="1"/>
  <c r="BJ167" i="1"/>
  <c r="BI167" i="1"/>
  <c r="BH167" i="1"/>
  <c r="BG167" i="1"/>
  <c r="BC167" i="1"/>
  <c r="BD167" i="1" s="1"/>
  <c r="CD166" i="1"/>
  <c r="CC166" i="1"/>
  <c r="CB166" i="1"/>
  <c r="CA166" i="1"/>
  <c r="BZ166" i="1"/>
  <c r="BY166" i="1"/>
  <c r="BX166" i="1"/>
  <c r="BW166" i="1"/>
  <c r="BV166" i="1"/>
  <c r="BU166" i="1"/>
  <c r="BT166" i="1"/>
  <c r="BS166" i="1"/>
  <c r="BR166" i="1"/>
  <c r="BQ166" i="1"/>
  <c r="BP166" i="1"/>
  <c r="BO166" i="1"/>
  <c r="BN166" i="1"/>
  <c r="BM166" i="1"/>
  <c r="BL166" i="1"/>
  <c r="BK166" i="1"/>
  <c r="BJ166" i="1"/>
  <c r="BI166" i="1"/>
  <c r="BH166" i="1"/>
  <c r="BG166" i="1"/>
  <c r="BC166" i="1"/>
  <c r="BD166" i="1" s="1"/>
  <c r="CD165" i="1"/>
  <c r="CC165" i="1"/>
  <c r="CB165" i="1"/>
  <c r="CA165" i="1"/>
  <c r="BZ165" i="1"/>
  <c r="BY165" i="1"/>
  <c r="BX165" i="1"/>
  <c r="BW165" i="1"/>
  <c r="BV165" i="1"/>
  <c r="BU165" i="1"/>
  <c r="BT165" i="1"/>
  <c r="BS165" i="1"/>
  <c r="BR165" i="1"/>
  <c r="BQ165" i="1"/>
  <c r="BP165" i="1"/>
  <c r="BO165" i="1"/>
  <c r="BN165" i="1"/>
  <c r="BM165" i="1"/>
  <c r="BL165" i="1"/>
  <c r="BK165" i="1"/>
  <c r="BJ165" i="1"/>
  <c r="BI165" i="1"/>
  <c r="BH165" i="1"/>
  <c r="BG165" i="1"/>
  <c r="BC165" i="1"/>
  <c r="BD165" i="1" s="1"/>
  <c r="CD164" i="1"/>
  <c r="CC164" i="1"/>
  <c r="CB164" i="1"/>
  <c r="CA164" i="1"/>
  <c r="BZ164" i="1"/>
  <c r="BY164" i="1"/>
  <c r="BX164" i="1"/>
  <c r="BW164" i="1"/>
  <c r="BV164" i="1"/>
  <c r="BU164" i="1"/>
  <c r="BT164" i="1"/>
  <c r="BS164" i="1"/>
  <c r="BR164" i="1"/>
  <c r="BQ164" i="1"/>
  <c r="BP164" i="1"/>
  <c r="BO164" i="1"/>
  <c r="BN164" i="1"/>
  <c r="BM164" i="1"/>
  <c r="BL164" i="1"/>
  <c r="BK164" i="1"/>
  <c r="BJ164" i="1"/>
  <c r="BI164" i="1"/>
  <c r="BH164" i="1"/>
  <c r="BG164" i="1"/>
  <c r="BC164" i="1"/>
  <c r="BD164" i="1" s="1"/>
  <c r="CD163" i="1"/>
  <c r="CC163" i="1"/>
  <c r="CB163" i="1"/>
  <c r="CA163" i="1"/>
  <c r="BZ163" i="1"/>
  <c r="BY163" i="1"/>
  <c r="BX163" i="1"/>
  <c r="BW163" i="1"/>
  <c r="BV163" i="1"/>
  <c r="BU163" i="1"/>
  <c r="BT163" i="1"/>
  <c r="BS163" i="1"/>
  <c r="BR163" i="1"/>
  <c r="BQ163" i="1"/>
  <c r="BP163" i="1"/>
  <c r="BO163" i="1"/>
  <c r="BN163" i="1"/>
  <c r="BM163" i="1"/>
  <c r="BL163" i="1"/>
  <c r="BK163" i="1"/>
  <c r="BJ163" i="1"/>
  <c r="BI163" i="1"/>
  <c r="BH163" i="1"/>
  <c r="BG163" i="1"/>
  <c r="BC163" i="1"/>
  <c r="BD163" i="1" s="1"/>
  <c r="CD162" i="1"/>
  <c r="CC162" i="1"/>
  <c r="CB162" i="1"/>
  <c r="CA162" i="1"/>
  <c r="BZ162" i="1"/>
  <c r="BY162" i="1"/>
  <c r="BX162" i="1"/>
  <c r="BW162" i="1"/>
  <c r="BV162" i="1"/>
  <c r="BU162" i="1"/>
  <c r="BT162" i="1"/>
  <c r="BS162" i="1"/>
  <c r="BR162" i="1"/>
  <c r="BQ162" i="1"/>
  <c r="BP162" i="1"/>
  <c r="BO162" i="1"/>
  <c r="BN162" i="1"/>
  <c r="BM162" i="1"/>
  <c r="BL162" i="1"/>
  <c r="BK162" i="1"/>
  <c r="BJ162" i="1"/>
  <c r="BI162" i="1"/>
  <c r="BH162" i="1"/>
  <c r="BG162" i="1"/>
  <c r="BC162" i="1"/>
  <c r="BD162" i="1" s="1"/>
  <c r="CD161" i="1"/>
  <c r="CC161" i="1"/>
  <c r="CB161" i="1"/>
  <c r="CA161" i="1"/>
  <c r="BZ161" i="1"/>
  <c r="BY161" i="1"/>
  <c r="BX161" i="1"/>
  <c r="BW161" i="1"/>
  <c r="BV161" i="1"/>
  <c r="BU161" i="1"/>
  <c r="BT161" i="1"/>
  <c r="BS161" i="1"/>
  <c r="BR161" i="1"/>
  <c r="BQ161" i="1"/>
  <c r="BP161" i="1"/>
  <c r="BO161" i="1"/>
  <c r="BN161" i="1"/>
  <c r="BM161" i="1"/>
  <c r="BL161" i="1"/>
  <c r="BK161" i="1"/>
  <c r="BJ161" i="1"/>
  <c r="BI161" i="1"/>
  <c r="BH161" i="1"/>
  <c r="BG161" i="1"/>
  <c r="BC161" i="1"/>
  <c r="BD161" i="1" s="1"/>
  <c r="CD160" i="1"/>
  <c r="CC160" i="1"/>
  <c r="CB160" i="1"/>
  <c r="CA160" i="1"/>
  <c r="BZ160" i="1"/>
  <c r="BY160" i="1"/>
  <c r="BX160" i="1"/>
  <c r="BW160" i="1"/>
  <c r="BV160" i="1"/>
  <c r="BU160" i="1"/>
  <c r="BT160" i="1"/>
  <c r="BS160" i="1"/>
  <c r="BR160" i="1"/>
  <c r="BQ160" i="1"/>
  <c r="BP160" i="1"/>
  <c r="BO160" i="1"/>
  <c r="BN160" i="1"/>
  <c r="BM160" i="1"/>
  <c r="BL160" i="1"/>
  <c r="BK160" i="1"/>
  <c r="BJ160" i="1"/>
  <c r="BI160" i="1"/>
  <c r="BH160" i="1"/>
  <c r="BG160" i="1"/>
  <c r="BC160" i="1"/>
  <c r="BD160" i="1" s="1"/>
  <c r="CD159" i="1"/>
  <c r="CC159" i="1"/>
  <c r="CB159" i="1"/>
  <c r="CA159" i="1"/>
  <c r="BZ159" i="1"/>
  <c r="BY159" i="1"/>
  <c r="BX159" i="1"/>
  <c r="BW159" i="1"/>
  <c r="BV159" i="1"/>
  <c r="BU159" i="1"/>
  <c r="BT159" i="1"/>
  <c r="BS159" i="1"/>
  <c r="BR159" i="1"/>
  <c r="BQ159" i="1"/>
  <c r="BP159" i="1"/>
  <c r="BO159" i="1"/>
  <c r="BN159" i="1"/>
  <c r="BM159" i="1"/>
  <c r="BL159" i="1"/>
  <c r="BK159" i="1"/>
  <c r="BJ159" i="1"/>
  <c r="BI159" i="1"/>
  <c r="BH159" i="1"/>
  <c r="BG159" i="1"/>
  <c r="BC159" i="1"/>
  <c r="BD159" i="1" s="1"/>
  <c r="CD158" i="1"/>
  <c r="CC158" i="1"/>
  <c r="CB158" i="1"/>
  <c r="CA158" i="1"/>
  <c r="BZ158" i="1"/>
  <c r="BY158" i="1"/>
  <c r="BX158" i="1"/>
  <c r="BW158" i="1"/>
  <c r="BV158" i="1"/>
  <c r="BU158" i="1"/>
  <c r="BT158" i="1"/>
  <c r="BS158" i="1"/>
  <c r="BR158" i="1"/>
  <c r="BQ158" i="1"/>
  <c r="BP158" i="1"/>
  <c r="BO158" i="1"/>
  <c r="BN158" i="1"/>
  <c r="BM158" i="1"/>
  <c r="BL158" i="1"/>
  <c r="BK158" i="1"/>
  <c r="BJ158" i="1"/>
  <c r="BI158" i="1"/>
  <c r="BH158" i="1"/>
  <c r="BG158" i="1"/>
  <c r="BC158" i="1"/>
  <c r="BD158" i="1" s="1"/>
  <c r="CD157" i="1"/>
  <c r="CC157" i="1"/>
  <c r="CB157" i="1"/>
  <c r="CA157" i="1"/>
  <c r="BZ157" i="1"/>
  <c r="BY157" i="1"/>
  <c r="BX157" i="1"/>
  <c r="BW157" i="1"/>
  <c r="BV157" i="1"/>
  <c r="BU157" i="1"/>
  <c r="BT157" i="1"/>
  <c r="BS157" i="1"/>
  <c r="BR157" i="1"/>
  <c r="BQ157" i="1"/>
  <c r="BP157" i="1"/>
  <c r="BO157" i="1"/>
  <c r="BN157" i="1"/>
  <c r="BM157" i="1"/>
  <c r="BL157" i="1"/>
  <c r="BK157" i="1"/>
  <c r="BJ157" i="1"/>
  <c r="BI157" i="1"/>
  <c r="BH157" i="1"/>
  <c r="BG157" i="1"/>
  <c r="BC157" i="1"/>
  <c r="BD157" i="1" s="1"/>
  <c r="CD156" i="1"/>
  <c r="CC156" i="1"/>
  <c r="CB156" i="1"/>
  <c r="CA156" i="1"/>
  <c r="BZ156" i="1"/>
  <c r="BY156" i="1"/>
  <c r="BX156" i="1"/>
  <c r="BW156" i="1"/>
  <c r="BV156" i="1"/>
  <c r="BU156" i="1"/>
  <c r="BT156" i="1"/>
  <c r="BS156" i="1"/>
  <c r="BR156" i="1"/>
  <c r="BQ156" i="1"/>
  <c r="BP156" i="1"/>
  <c r="BO156" i="1"/>
  <c r="BN156" i="1"/>
  <c r="BM156" i="1"/>
  <c r="BL156" i="1"/>
  <c r="BK156" i="1"/>
  <c r="BJ156" i="1"/>
  <c r="BI156" i="1"/>
  <c r="BH156" i="1"/>
  <c r="BG156" i="1"/>
  <c r="BC156" i="1"/>
  <c r="BD156" i="1" s="1"/>
  <c r="CD155" i="1"/>
  <c r="CC155" i="1"/>
  <c r="CB155" i="1"/>
  <c r="CA155" i="1"/>
  <c r="BZ155" i="1"/>
  <c r="BY155" i="1"/>
  <c r="BX155" i="1"/>
  <c r="BW155" i="1"/>
  <c r="BV155" i="1"/>
  <c r="BU155" i="1"/>
  <c r="BT155" i="1"/>
  <c r="BS155" i="1"/>
  <c r="BR155" i="1"/>
  <c r="BQ155" i="1"/>
  <c r="BP155" i="1"/>
  <c r="BO155" i="1"/>
  <c r="BN155" i="1"/>
  <c r="BM155" i="1"/>
  <c r="BL155" i="1"/>
  <c r="BK155" i="1"/>
  <c r="BJ155" i="1"/>
  <c r="BI155" i="1"/>
  <c r="BH155" i="1"/>
  <c r="BG155" i="1"/>
  <c r="BC155" i="1"/>
  <c r="BD155" i="1" s="1"/>
  <c r="CD154" i="1"/>
  <c r="CC154" i="1"/>
  <c r="CB154" i="1"/>
  <c r="CA154" i="1"/>
  <c r="BZ154" i="1"/>
  <c r="BY154" i="1"/>
  <c r="BX154" i="1"/>
  <c r="BW154" i="1"/>
  <c r="BV154" i="1"/>
  <c r="BU154" i="1"/>
  <c r="BT154" i="1"/>
  <c r="BS154" i="1"/>
  <c r="BR154" i="1"/>
  <c r="BQ154" i="1"/>
  <c r="BP154" i="1"/>
  <c r="BO154" i="1"/>
  <c r="BN154" i="1"/>
  <c r="BM154" i="1"/>
  <c r="BL154" i="1"/>
  <c r="BK154" i="1"/>
  <c r="BJ154" i="1"/>
  <c r="BI154" i="1"/>
  <c r="BH154" i="1"/>
  <c r="BG154" i="1"/>
  <c r="BC154" i="1"/>
  <c r="BD154" i="1" s="1"/>
  <c r="CD153" i="1"/>
  <c r="CC153" i="1"/>
  <c r="CB153" i="1"/>
  <c r="CA153" i="1"/>
  <c r="BZ153" i="1"/>
  <c r="BY153" i="1"/>
  <c r="BX153" i="1"/>
  <c r="BW153" i="1"/>
  <c r="BV153" i="1"/>
  <c r="BU153" i="1"/>
  <c r="BT153" i="1"/>
  <c r="BS153" i="1"/>
  <c r="BR153" i="1"/>
  <c r="BQ153" i="1"/>
  <c r="BP153" i="1"/>
  <c r="BO153" i="1"/>
  <c r="BN153" i="1"/>
  <c r="BM153" i="1"/>
  <c r="BL153" i="1"/>
  <c r="BK153" i="1"/>
  <c r="BJ153" i="1"/>
  <c r="BI153" i="1"/>
  <c r="BH153" i="1"/>
  <c r="BG153" i="1"/>
  <c r="BC153" i="1"/>
  <c r="BD153" i="1" s="1"/>
  <c r="CD152" i="1"/>
  <c r="CC152" i="1"/>
  <c r="CB152" i="1"/>
  <c r="CA152" i="1"/>
  <c r="BZ152" i="1"/>
  <c r="BY152" i="1"/>
  <c r="BX152" i="1"/>
  <c r="BW152" i="1"/>
  <c r="BV152" i="1"/>
  <c r="BU152" i="1"/>
  <c r="BT152" i="1"/>
  <c r="BS152" i="1"/>
  <c r="BR152" i="1"/>
  <c r="BQ152" i="1"/>
  <c r="BP152" i="1"/>
  <c r="BO152" i="1"/>
  <c r="BN152" i="1"/>
  <c r="BM152" i="1"/>
  <c r="BL152" i="1"/>
  <c r="BK152" i="1"/>
  <c r="BJ152" i="1"/>
  <c r="BI152" i="1"/>
  <c r="BH152" i="1"/>
  <c r="BG152" i="1"/>
  <c r="BC152" i="1"/>
  <c r="BD152" i="1" s="1"/>
  <c r="CD151" i="1"/>
  <c r="CC151" i="1"/>
  <c r="CB151" i="1"/>
  <c r="CA151" i="1"/>
  <c r="BZ151" i="1"/>
  <c r="BY151" i="1"/>
  <c r="BX151" i="1"/>
  <c r="BW151" i="1"/>
  <c r="BV151" i="1"/>
  <c r="BU151" i="1"/>
  <c r="BT151" i="1"/>
  <c r="BS151" i="1"/>
  <c r="BR151" i="1"/>
  <c r="BQ151" i="1"/>
  <c r="BP151" i="1"/>
  <c r="BO151" i="1"/>
  <c r="BN151" i="1"/>
  <c r="BM151" i="1"/>
  <c r="BL151" i="1"/>
  <c r="BK151" i="1"/>
  <c r="BJ151" i="1"/>
  <c r="BI151" i="1"/>
  <c r="BH151" i="1"/>
  <c r="BG151" i="1"/>
  <c r="BC151" i="1"/>
  <c r="BD151" i="1" s="1"/>
  <c r="CD150" i="1"/>
  <c r="CC150" i="1"/>
  <c r="CB150" i="1"/>
  <c r="CA150" i="1"/>
  <c r="BZ150" i="1"/>
  <c r="BY150" i="1"/>
  <c r="BX150" i="1"/>
  <c r="BW150" i="1"/>
  <c r="BV150" i="1"/>
  <c r="BU150" i="1"/>
  <c r="BT150" i="1"/>
  <c r="BS150" i="1"/>
  <c r="BR150" i="1"/>
  <c r="BQ150" i="1"/>
  <c r="BP150" i="1"/>
  <c r="BO150" i="1"/>
  <c r="BN150" i="1"/>
  <c r="BM150" i="1"/>
  <c r="BL150" i="1"/>
  <c r="BK150" i="1"/>
  <c r="BJ150" i="1"/>
  <c r="BI150" i="1"/>
  <c r="BH150" i="1"/>
  <c r="BG150" i="1"/>
  <c r="BC150" i="1"/>
  <c r="BD150" i="1" s="1"/>
  <c r="CD149" i="1"/>
  <c r="CC149" i="1"/>
  <c r="CB149" i="1"/>
  <c r="CA149" i="1"/>
  <c r="BZ149" i="1"/>
  <c r="BY149" i="1"/>
  <c r="BX149" i="1"/>
  <c r="BW149" i="1"/>
  <c r="BV149" i="1"/>
  <c r="BU149" i="1"/>
  <c r="BT149" i="1"/>
  <c r="BS149" i="1"/>
  <c r="BR149" i="1"/>
  <c r="BQ149" i="1"/>
  <c r="BP149" i="1"/>
  <c r="BO149" i="1"/>
  <c r="BN149" i="1"/>
  <c r="BM149" i="1"/>
  <c r="BL149" i="1"/>
  <c r="BK149" i="1"/>
  <c r="BJ149" i="1"/>
  <c r="BI149" i="1"/>
  <c r="BH149" i="1"/>
  <c r="BG149" i="1"/>
  <c r="BC149" i="1"/>
  <c r="BD149" i="1" s="1"/>
  <c r="CD148" i="1"/>
  <c r="CC148" i="1"/>
  <c r="CB148" i="1"/>
  <c r="CA148" i="1"/>
  <c r="BZ148" i="1"/>
  <c r="BY148" i="1"/>
  <c r="BX148" i="1"/>
  <c r="BW148" i="1"/>
  <c r="BV148" i="1"/>
  <c r="BU148" i="1"/>
  <c r="BT148" i="1"/>
  <c r="BS148" i="1"/>
  <c r="BR148" i="1"/>
  <c r="BQ148" i="1"/>
  <c r="BP148" i="1"/>
  <c r="BO148" i="1"/>
  <c r="BN148" i="1"/>
  <c r="BM148" i="1"/>
  <c r="BL148" i="1"/>
  <c r="BK148" i="1"/>
  <c r="BJ148" i="1"/>
  <c r="BI148" i="1"/>
  <c r="BH148" i="1"/>
  <c r="BG148" i="1"/>
  <c r="BC148" i="1"/>
  <c r="BD148" i="1" s="1"/>
  <c r="CD147" i="1"/>
  <c r="CC147" i="1"/>
  <c r="CB147" i="1"/>
  <c r="CA147" i="1"/>
  <c r="BZ147" i="1"/>
  <c r="BY147" i="1"/>
  <c r="BX147" i="1"/>
  <c r="BW147" i="1"/>
  <c r="BV147" i="1"/>
  <c r="BU147" i="1"/>
  <c r="BT147" i="1"/>
  <c r="BS147" i="1"/>
  <c r="BR147" i="1"/>
  <c r="BQ147" i="1"/>
  <c r="BP147" i="1"/>
  <c r="BO147" i="1"/>
  <c r="BN147" i="1"/>
  <c r="BM147" i="1"/>
  <c r="BL147" i="1"/>
  <c r="BK147" i="1"/>
  <c r="BJ147" i="1"/>
  <c r="BI147" i="1"/>
  <c r="BH147" i="1"/>
  <c r="BG147" i="1"/>
  <c r="BC147" i="1"/>
  <c r="BD147" i="1" s="1"/>
  <c r="CD146" i="1"/>
  <c r="CC146" i="1"/>
  <c r="CB146" i="1"/>
  <c r="CA146" i="1"/>
  <c r="BZ146" i="1"/>
  <c r="BY146" i="1"/>
  <c r="BX146" i="1"/>
  <c r="BW146" i="1"/>
  <c r="BV146" i="1"/>
  <c r="BU146" i="1"/>
  <c r="BT146" i="1"/>
  <c r="BS146" i="1"/>
  <c r="BR146" i="1"/>
  <c r="BQ146" i="1"/>
  <c r="BP146" i="1"/>
  <c r="BO146" i="1"/>
  <c r="BN146" i="1"/>
  <c r="BM146" i="1"/>
  <c r="BL146" i="1"/>
  <c r="BK146" i="1"/>
  <c r="BJ146" i="1"/>
  <c r="BI146" i="1"/>
  <c r="BH146" i="1"/>
  <c r="BG146" i="1"/>
  <c r="BC146" i="1"/>
  <c r="BD146" i="1" s="1"/>
  <c r="CD145" i="1"/>
  <c r="CC145" i="1"/>
  <c r="CB145" i="1"/>
  <c r="CA145" i="1"/>
  <c r="BZ145" i="1"/>
  <c r="BY145" i="1"/>
  <c r="BX145" i="1"/>
  <c r="BW145" i="1"/>
  <c r="BV145" i="1"/>
  <c r="BU145" i="1"/>
  <c r="BT145" i="1"/>
  <c r="BS145" i="1"/>
  <c r="BR145" i="1"/>
  <c r="BQ145" i="1"/>
  <c r="BP145" i="1"/>
  <c r="BO145" i="1"/>
  <c r="BN145" i="1"/>
  <c r="BM145" i="1"/>
  <c r="BL145" i="1"/>
  <c r="BK145" i="1"/>
  <c r="BJ145" i="1"/>
  <c r="BI145" i="1"/>
  <c r="BH145" i="1"/>
  <c r="BG145" i="1"/>
  <c r="BC145" i="1"/>
  <c r="BD145" i="1" s="1"/>
  <c r="CD144" i="1"/>
  <c r="CC144" i="1"/>
  <c r="CB144" i="1"/>
  <c r="CA144" i="1"/>
  <c r="BZ144" i="1"/>
  <c r="BY144" i="1"/>
  <c r="BX144" i="1"/>
  <c r="BW144" i="1"/>
  <c r="BV144" i="1"/>
  <c r="BU144" i="1"/>
  <c r="BT144" i="1"/>
  <c r="BS144" i="1"/>
  <c r="BR144" i="1"/>
  <c r="BQ144" i="1"/>
  <c r="BP144" i="1"/>
  <c r="BO144" i="1"/>
  <c r="BN144" i="1"/>
  <c r="BM144" i="1"/>
  <c r="BL144" i="1"/>
  <c r="BK144" i="1"/>
  <c r="BJ144" i="1"/>
  <c r="BI144" i="1"/>
  <c r="BH144" i="1"/>
  <c r="BG144" i="1"/>
  <c r="BC144" i="1"/>
  <c r="BD144" i="1" s="1"/>
  <c r="CD143" i="1"/>
  <c r="CC143" i="1"/>
  <c r="CB143" i="1"/>
  <c r="CA143" i="1"/>
  <c r="BZ143" i="1"/>
  <c r="BY143" i="1"/>
  <c r="BX143" i="1"/>
  <c r="BW143" i="1"/>
  <c r="BV143" i="1"/>
  <c r="BU143" i="1"/>
  <c r="BT143" i="1"/>
  <c r="BS143" i="1"/>
  <c r="BR143" i="1"/>
  <c r="BQ143" i="1"/>
  <c r="BP143" i="1"/>
  <c r="BO143" i="1"/>
  <c r="BN143" i="1"/>
  <c r="BM143" i="1"/>
  <c r="BL143" i="1"/>
  <c r="BK143" i="1"/>
  <c r="BJ143" i="1"/>
  <c r="BI143" i="1"/>
  <c r="BH143" i="1"/>
  <c r="BG143" i="1"/>
  <c r="BC143" i="1"/>
  <c r="BD143" i="1" s="1"/>
  <c r="CD142" i="1"/>
  <c r="CC142" i="1"/>
  <c r="CB142" i="1"/>
  <c r="CA142" i="1"/>
  <c r="BZ142" i="1"/>
  <c r="BY142" i="1"/>
  <c r="BX142" i="1"/>
  <c r="BW142" i="1"/>
  <c r="BV142" i="1"/>
  <c r="BU142" i="1"/>
  <c r="BT142" i="1"/>
  <c r="BS142" i="1"/>
  <c r="BR142" i="1"/>
  <c r="BQ142" i="1"/>
  <c r="BP142" i="1"/>
  <c r="BO142" i="1"/>
  <c r="BN142" i="1"/>
  <c r="BM142" i="1"/>
  <c r="BL142" i="1"/>
  <c r="BK142" i="1"/>
  <c r="BJ142" i="1"/>
  <c r="BI142" i="1"/>
  <c r="BH142" i="1"/>
  <c r="BG142" i="1"/>
  <c r="BC142" i="1"/>
  <c r="BD142" i="1" s="1"/>
  <c r="CD141" i="1"/>
  <c r="CC141" i="1"/>
  <c r="CB141" i="1"/>
  <c r="CA141" i="1"/>
  <c r="BZ141" i="1"/>
  <c r="BY141" i="1"/>
  <c r="BX141" i="1"/>
  <c r="BW141" i="1"/>
  <c r="BV141" i="1"/>
  <c r="BU141" i="1"/>
  <c r="BT141" i="1"/>
  <c r="BS141" i="1"/>
  <c r="BR141" i="1"/>
  <c r="BQ141" i="1"/>
  <c r="BP141" i="1"/>
  <c r="BO141" i="1"/>
  <c r="BN141" i="1"/>
  <c r="BM141" i="1"/>
  <c r="BL141" i="1"/>
  <c r="BK141" i="1"/>
  <c r="BJ141" i="1"/>
  <c r="BI141" i="1"/>
  <c r="BH141" i="1"/>
  <c r="BG141" i="1"/>
  <c r="BC141" i="1"/>
  <c r="BD141" i="1" s="1"/>
  <c r="CD140" i="1"/>
  <c r="CC140" i="1"/>
  <c r="CB140" i="1"/>
  <c r="CA140" i="1"/>
  <c r="BZ140" i="1"/>
  <c r="BY140" i="1"/>
  <c r="BX140" i="1"/>
  <c r="BW140" i="1"/>
  <c r="BV140" i="1"/>
  <c r="BU140" i="1"/>
  <c r="BT140" i="1"/>
  <c r="BS140" i="1"/>
  <c r="BR140" i="1"/>
  <c r="BQ140" i="1"/>
  <c r="BP140" i="1"/>
  <c r="BO140" i="1"/>
  <c r="BN140" i="1"/>
  <c r="BM140" i="1"/>
  <c r="BL140" i="1"/>
  <c r="BK140" i="1"/>
  <c r="BJ140" i="1"/>
  <c r="BI140" i="1"/>
  <c r="BH140" i="1"/>
  <c r="BG140" i="1"/>
  <c r="BC140" i="1"/>
  <c r="BD140" i="1" s="1"/>
  <c r="CD139" i="1"/>
  <c r="CC139" i="1"/>
  <c r="CB139" i="1"/>
  <c r="CA139" i="1"/>
  <c r="BZ139" i="1"/>
  <c r="BY139" i="1"/>
  <c r="BX139" i="1"/>
  <c r="BW139" i="1"/>
  <c r="BV139" i="1"/>
  <c r="BU139" i="1"/>
  <c r="BT139" i="1"/>
  <c r="BS139" i="1"/>
  <c r="BR139" i="1"/>
  <c r="BQ139" i="1"/>
  <c r="BP139" i="1"/>
  <c r="BO139" i="1"/>
  <c r="BN139" i="1"/>
  <c r="BM139" i="1"/>
  <c r="BL139" i="1"/>
  <c r="BK139" i="1"/>
  <c r="BJ139" i="1"/>
  <c r="BI139" i="1"/>
  <c r="BH139" i="1"/>
  <c r="BG139" i="1"/>
  <c r="BC139" i="1"/>
  <c r="BD139" i="1" s="1"/>
  <c r="CD138" i="1"/>
  <c r="CC138" i="1"/>
  <c r="CB138" i="1"/>
  <c r="CA138" i="1"/>
  <c r="BZ138" i="1"/>
  <c r="BY138" i="1"/>
  <c r="BX138" i="1"/>
  <c r="BW138" i="1"/>
  <c r="BV138" i="1"/>
  <c r="BU138" i="1"/>
  <c r="BT138" i="1"/>
  <c r="BS138" i="1"/>
  <c r="BR138" i="1"/>
  <c r="BQ138" i="1"/>
  <c r="BP138" i="1"/>
  <c r="BO138" i="1"/>
  <c r="BN138" i="1"/>
  <c r="BM138" i="1"/>
  <c r="BL138" i="1"/>
  <c r="BK138" i="1"/>
  <c r="BJ138" i="1"/>
  <c r="BI138" i="1"/>
  <c r="BH138" i="1"/>
  <c r="BG138" i="1"/>
  <c r="BC138" i="1"/>
  <c r="BD138" i="1" s="1"/>
  <c r="CD137" i="1"/>
  <c r="CC137" i="1"/>
  <c r="CB137" i="1"/>
  <c r="CA137" i="1"/>
  <c r="BZ137" i="1"/>
  <c r="BY137" i="1"/>
  <c r="BX137" i="1"/>
  <c r="BW137" i="1"/>
  <c r="BV137" i="1"/>
  <c r="BU137" i="1"/>
  <c r="BT137" i="1"/>
  <c r="BS137" i="1"/>
  <c r="BR137" i="1"/>
  <c r="BQ137" i="1"/>
  <c r="BP137" i="1"/>
  <c r="BO137" i="1"/>
  <c r="BN137" i="1"/>
  <c r="BM137" i="1"/>
  <c r="BL137" i="1"/>
  <c r="BK137" i="1"/>
  <c r="BJ137" i="1"/>
  <c r="BI137" i="1"/>
  <c r="BH137" i="1"/>
  <c r="BG137" i="1"/>
  <c r="BC137" i="1"/>
  <c r="BD137" i="1" s="1"/>
  <c r="CD136" i="1"/>
  <c r="CC136" i="1"/>
  <c r="CB136" i="1"/>
  <c r="CA136" i="1"/>
  <c r="BZ136" i="1"/>
  <c r="BY136" i="1"/>
  <c r="BX136" i="1"/>
  <c r="BW136" i="1"/>
  <c r="BV136" i="1"/>
  <c r="BU136" i="1"/>
  <c r="BT136" i="1"/>
  <c r="BS136" i="1"/>
  <c r="BR136" i="1"/>
  <c r="BQ136" i="1"/>
  <c r="BP136" i="1"/>
  <c r="BO136" i="1"/>
  <c r="BN136" i="1"/>
  <c r="BM136" i="1"/>
  <c r="BL136" i="1"/>
  <c r="BK136" i="1"/>
  <c r="BJ136" i="1"/>
  <c r="BI136" i="1"/>
  <c r="BH136" i="1"/>
  <c r="BG136" i="1"/>
  <c r="BC136" i="1"/>
  <c r="BD136" i="1" s="1"/>
  <c r="CD135" i="1"/>
  <c r="CC135" i="1"/>
  <c r="CB135" i="1"/>
  <c r="CA135" i="1"/>
  <c r="BZ135" i="1"/>
  <c r="BY135" i="1"/>
  <c r="BX135" i="1"/>
  <c r="BW135" i="1"/>
  <c r="BV135" i="1"/>
  <c r="BU135" i="1"/>
  <c r="BT135" i="1"/>
  <c r="BS135" i="1"/>
  <c r="BR135" i="1"/>
  <c r="BQ135" i="1"/>
  <c r="BP135" i="1"/>
  <c r="BO135" i="1"/>
  <c r="BN135" i="1"/>
  <c r="BM135" i="1"/>
  <c r="BL135" i="1"/>
  <c r="BK135" i="1"/>
  <c r="BJ135" i="1"/>
  <c r="BI135" i="1"/>
  <c r="BH135" i="1"/>
  <c r="BG135" i="1"/>
  <c r="BC135" i="1"/>
  <c r="BD135" i="1" s="1"/>
  <c r="CD134" i="1"/>
  <c r="CC134" i="1"/>
  <c r="CB134" i="1"/>
  <c r="CA134" i="1"/>
  <c r="BZ134" i="1"/>
  <c r="BY134" i="1"/>
  <c r="BX134" i="1"/>
  <c r="BW134" i="1"/>
  <c r="BV134" i="1"/>
  <c r="BU134" i="1"/>
  <c r="BT134" i="1"/>
  <c r="BS134" i="1"/>
  <c r="BR134" i="1"/>
  <c r="BQ134" i="1"/>
  <c r="BP134" i="1"/>
  <c r="BO134" i="1"/>
  <c r="BN134" i="1"/>
  <c r="BM134" i="1"/>
  <c r="BL134" i="1"/>
  <c r="BK134" i="1"/>
  <c r="BJ134" i="1"/>
  <c r="BI134" i="1"/>
  <c r="BH134" i="1"/>
  <c r="BG134" i="1"/>
  <c r="BC134" i="1"/>
  <c r="BD134" i="1" s="1"/>
  <c r="CD133" i="1"/>
  <c r="CC133" i="1"/>
  <c r="CB133" i="1"/>
  <c r="CA133" i="1"/>
  <c r="BZ133" i="1"/>
  <c r="BY133" i="1"/>
  <c r="BX133" i="1"/>
  <c r="BW133" i="1"/>
  <c r="BV133" i="1"/>
  <c r="BU133" i="1"/>
  <c r="BT133" i="1"/>
  <c r="BS133" i="1"/>
  <c r="BR133" i="1"/>
  <c r="BQ133" i="1"/>
  <c r="BP133" i="1"/>
  <c r="BO133" i="1"/>
  <c r="BN133" i="1"/>
  <c r="BM133" i="1"/>
  <c r="BL133" i="1"/>
  <c r="BK133" i="1"/>
  <c r="BJ133" i="1"/>
  <c r="BI133" i="1"/>
  <c r="BH133" i="1"/>
  <c r="BG133" i="1"/>
  <c r="BC133" i="1"/>
  <c r="BD133" i="1" s="1"/>
  <c r="CD132" i="1"/>
  <c r="CC132" i="1"/>
  <c r="CB132" i="1"/>
  <c r="CA132" i="1"/>
  <c r="BZ132" i="1"/>
  <c r="BY132" i="1"/>
  <c r="BX132" i="1"/>
  <c r="BW132" i="1"/>
  <c r="BV132" i="1"/>
  <c r="BU132" i="1"/>
  <c r="BT132" i="1"/>
  <c r="BS132" i="1"/>
  <c r="BR132" i="1"/>
  <c r="BQ132" i="1"/>
  <c r="BP132" i="1"/>
  <c r="BO132" i="1"/>
  <c r="BN132" i="1"/>
  <c r="BM132" i="1"/>
  <c r="BL132" i="1"/>
  <c r="BK132" i="1"/>
  <c r="BJ132" i="1"/>
  <c r="BI132" i="1"/>
  <c r="BH132" i="1"/>
  <c r="BG132" i="1"/>
  <c r="BC132" i="1"/>
  <c r="BD132" i="1" s="1"/>
  <c r="CD131" i="1"/>
  <c r="CC131" i="1"/>
  <c r="CB131" i="1"/>
  <c r="CA131" i="1"/>
  <c r="BZ131" i="1"/>
  <c r="BY131" i="1"/>
  <c r="BX131" i="1"/>
  <c r="BW131" i="1"/>
  <c r="BV131" i="1"/>
  <c r="BU131" i="1"/>
  <c r="BT131" i="1"/>
  <c r="BS131" i="1"/>
  <c r="BR131" i="1"/>
  <c r="BQ131" i="1"/>
  <c r="BP131" i="1"/>
  <c r="BO131" i="1"/>
  <c r="BN131" i="1"/>
  <c r="BM131" i="1"/>
  <c r="BL131" i="1"/>
  <c r="BK131" i="1"/>
  <c r="BJ131" i="1"/>
  <c r="BI131" i="1"/>
  <c r="BH131" i="1"/>
  <c r="BG131" i="1"/>
  <c r="BC131" i="1"/>
  <c r="BD131" i="1" s="1"/>
  <c r="CD130" i="1"/>
  <c r="CC130" i="1"/>
  <c r="CB130" i="1"/>
  <c r="CA130" i="1"/>
  <c r="BZ130" i="1"/>
  <c r="BY130" i="1"/>
  <c r="BX130" i="1"/>
  <c r="BW130" i="1"/>
  <c r="BV130" i="1"/>
  <c r="BU130" i="1"/>
  <c r="BT130" i="1"/>
  <c r="BS130" i="1"/>
  <c r="BR130" i="1"/>
  <c r="BQ130" i="1"/>
  <c r="BP130" i="1"/>
  <c r="BO130" i="1"/>
  <c r="BN130" i="1"/>
  <c r="BM130" i="1"/>
  <c r="BL130" i="1"/>
  <c r="BK130" i="1"/>
  <c r="BJ130" i="1"/>
  <c r="BI130" i="1"/>
  <c r="BH130" i="1"/>
  <c r="BG130" i="1"/>
  <c r="BC130" i="1"/>
  <c r="BD130" i="1" s="1"/>
  <c r="CD129" i="1"/>
  <c r="CC129" i="1"/>
  <c r="CB129" i="1"/>
  <c r="CA129" i="1"/>
  <c r="BZ129" i="1"/>
  <c r="BY129" i="1"/>
  <c r="BX129" i="1"/>
  <c r="BW129" i="1"/>
  <c r="BV129" i="1"/>
  <c r="BU129" i="1"/>
  <c r="BT129" i="1"/>
  <c r="BS129" i="1"/>
  <c r="BR129" i="1"/>
  <c r="BQ129" i="1"/>
  <c r="BP129" i="1"/>
  <c r="BO129" i="1"/>
  <c r="BN129" i="1"/>
  <c r="BM129" i="1"/>
  <c r="BL129" i="1"/>
  <c r="BK129" i="1"/>
  <c r="BJ129" i="1"/>
  <c r="BI129" i="1"/>
  <c r="BH129" i="1"/>
  <c r="BG129" i="1"/>
  <c r="BC129" i="1"/>
  <c r="BD129" i="1" s="1"/>
  <c r="CD128" i="1"/>
  <c r="CC128" i="1"/>
  <c r="CB128" i="1"/>
  <c r="CA128" i="1"/>
  <c r="BZ128" i="1"/>
  <c r="BY128" i="1"/>
  <c r="BX128" i="1"/>
  <c r="BW128" i="1"/>
  <c r="BV128" i="1"/>
  <c r="BU128" i="1"/>
  <c r="BT128" i="1"/>
  <c r="BS128" i="1"/>
  <c r="BR128" i="1"/>
  <c r="BQ128" i="1"/>
  <c r="BP128" i="1"/>
  <c r="BO128" i="1"/>
  <c r="BN128" i="1"/>
  <c r="BM128" i="1"/>
  <c r="BL128" i="1"/>
  <c r="BK128" i="1"/>
  <c r="BJ128" i="1"/>
  <c r="BI128" i="1"/>
  <c r="BH128" i="1"/>
  <c r="BG128" i="1"/>
  <c r="BC128" i="1"/>
  <c r="BD128" i="1" s="1"/>
  <c r="CD127" i="1"/>
  <c r="CC127" i="1"/>
  <c r="CB127" i="1"/>
  <c r="CA127" i="1"/>
  <c r="BZ127" i="1"/>
  <c r="BY127" i="1"/>
  <c r="BX127" i="1"/>
  <c r="BW127" i="1"/>
  <c r="BV127" i="1"/>
  <c r="BU127" i="1"/>
  <c r="BT127" i="1"/>
  <c r="BS127" i="1"/>
  <c r="BR127" i="1"/>
  <c r="BQ127" i="1"/>
  <c r="BP127" i="1"/>
  <c r="BO127" i="1"/>
  <c r="BN127" i="1"/>
  <c r="BM127" i="1"/>
  <c r="BL127" i="1"/>
  <c r="BK127" i="1"/>
  <c r="BJ127" i="1"/>
  <c r="BI127" i="1"/>
  <c r="BH127" i="1"/>
  <c r="BG127" i="1"/>
  <c r="BC127" i="1"/>
  <c r="BD127" i="1" s="1"/>
  <c r="CD126" i="1"/>
  <c r="CC126" i="1"/>
  <c r="CB126" i="1"/>
  <c r="CA126" i="1"/>
  <c r="BZ126" i="1"/>
  <c r="BY126" i="1"/>
  <c r="BX126" i="1"/>
  <c r="BW126" i="1"/>
  <c r="BV126" i="1"/>
  <c r="BU126" i="1"/>
  <c r="BT126" i="1"/>
  <c r="BS126" i="1"/>
  <c r="BR126" i="1"/>
  <c r="BQ126" i="1"/>
  <c r="BP126" i="1"/>
  <c r="BO126" i="1"/>
  <c r="BN126" i="1"/>
  <c r="BM126" i="1"/>
  <c r="BL126" i="1"/>
  <c r="BK126" i="1"/>
  <c r="BJ126" i="1"/>
  <c r="BI126" i="1"/>
  <c r="BH126" i="1"/>
  <c r="BG126" i="1"/>
  <c r="BC126" i="1"/>
  <c r="BD126" i="1" s="1"/>
  <c r="CD125" i="1"/>
  <c r="CC125" i="1"/>
  <c r="CB125" i="1"/>
  <c r="CA125" i="1"/>
  <c r="BZ125" i="1"/>
  <c r="BY125" i="1"/>
  <c r="BX125" i="1"/>
  <c r="BW125" i="1"/>
  <c r="BV125" i="1"/>
  <c r="BU125" i="1"/>
  <c r="BT125" i="1"/>
  <c r="BS125" i="1"/>
  <c r="BR125" i="1"/>
  <c r="BQ125" i="1"/>
  <c r="BP125" i="1"/>
  <c r="BO125" i="1"/>
  <c r="BN125" i="1"/>
  <c r="BM125" i="1"/>
  <c r="BL125" i="1"/>
  <c r="BK125" i="1"/>
  <c r="BJ125" i="1"/>
  <c r="BI125" i="1"/>
  <c r="BH125" i="1"/>
  <c r="BG125" i="1"/>
  <c r="BC125" i="1"/>
  <c r="BD125" i="1" s="1"/>
  <c r="CD124" i="1"/>
  <c r="CC124" i="1"/>
  <c r="CB124" i="1"/>
  <c r="CA124" i="1"/>
  <c r="BZ124" i="1"/>
  <c r="BY124" i="1"/>
  <c r="BX124" i="1"/>
  <c r="BW124" i="1"/>
  <c r="BV124" i="1"/>
  <c r="BU124" i="1"/>
  <c r="BT124" i="1"/>
  <c r="BS124" i="1"/>
  <c r="BR124" i="1"/>
  <c r="BQ124" i="1"/>
  <c r="BP124" i="1"/>
  <c r="BO124" i="1"/>
  <c r="BN124" i="1"/>
  <c r="BM124" i="1"/>
  <c r="BL124" i="1"/>
  <c r="BK124" i="1"/>
  <c r="BJ124" i="1"/>
  <c r="BI124" i="1"/>
  <c r="BH124" i="1"/>
  <c r="BG124" i="1"/>
  <c r="BC124" i="1"/>
  <c r="BD124" i="1" s="1"/>
  <c r="CD123" i="1"/>
  <c r="CC123" i="1"/>
  <c r="CB123" i="1"/>
  <c r="CA123" i="1"/>
  <c r="BZ123" i="1"/>
  <c r="BY123" i="1"/>
  <c r="BX123" i="1"/>
  <c r="BW123" i="1"/>
  <c r="BV123" i="1"/>
  <c r="BU123" i="1"/>
  <c r="BT123" i="1"/>
  <c r="BS123" i="1"/>
  <c r="BR123" i="1"/>
  <c r="BQ123" i="1"/>
  <c r="BP123" i="1"/>
  <c r="BO123" i="1"/>
  <c r="BN123" i="1"/>
  <c r="BM123" i="1"/>
  <c r="BL123" i="1"/>
  <c r="BK123" i="1"/>
  <c r="BJ123" i="1"/>
  <c r="BI123" i="1"/>
  <c r="BH123" i="1"/>
  <c r="BG123" i="1"/>
  <c r="BC123" i="1"/>
  <c r="BD123" i="1" s="1"/>
  <c r="CD122" i="1"/>
  <c r="CC122" i="1"/>
  <c r="CB122" i="1"/>
  <c r="CA122" i="1"/>
  <c r="BZ122" i="1"/>
  <c r="BY122" i="1"/>
  <c r="BX122" i="1"/>
  <c r="BW122" i="1"/>
  <c r="BV122" i="1"/>
  <c r="BU122" i="1"/>
  <c r="BT122" i="1"/>
  <c r="BS122" i="1"/>
  <c r="BR122" i="1"/>
  <c r="BQ122" i="1"/>
  <c r="BP122" i="1"/>
  <c r="BO122" i="1"/>
  <c r="BN122" i="1"/>
  <c r="BM122" i="1"/>
  <c r="BL122" i="1"/>
  <c r="BK122" i="1"/>
  <c r="BJ122" i="1"/>
  <c r="BI122" i="1"/>
  <c r="BH122" i="1"/>
  <c r="BG122" i="1"/>
  <c r="BC122" i="1"/>
  <c r="BD122" i="1" s="1"/>
  <c r="CD121" i="1"/>
  <c r="CC121" i="1"/>
  <c r="CB121" i="1"/>
  <c r="CA121" i="1"/>
  <c r="BZ121" i="1"/>
  <c r="BY121" i="1"/>
  <c r="BX121" i="1"/>
  <c r="BW121" i="1"/>
  <c r="BV121" i="1"/>
  <c r="BU121" i="1"/>
  <c r="BT121" i="1"/>
  <c r="BS121" i="1"/>
  <c r="BR121" i="1"/>
  <c r="BQ121" i="1"/>
  <c r="BP121" i="1"/>
  <c r="BO121" i="1"/>
  <c r="BN121" i="1"/>
  <c r="BM121" i="1"/>
  <c r="BL121" i="1"/>
  <c r="BK121" i="1"/>
  <c r="BJ121" i="1"/>
  <c r="BI121" i="1"/>
  <c r="BH121" i="1"/>
  <c r="BG121" i="1"/>
  <c r="BC121" i="1"/>
  <c r="BD121" i="1" s="1"/>
  <c r="CD120" i="1"/>
  <c r="CC120" i="1"/>
  <c r="CB120" i="1"/>
  <c r="CA120" i="1"/>
  <c r="BZ120" i="1"/>
  <c r="BY120" i="1"/>
  <c r="BX120" i="1"/>
  <c r="BW120" i="1"/>
  <c r="BV120" i="1"/>
  <c r="BU120" i="1"/>
  <c r="BT120" i="1"/>
  <c r="BS120" i="1"/>
  <c r="BR120" i="1"/>
  <c r="BQ120" i="1"/>
  <c r="BP120" i="1"/>
  <c r="BO120" i="1"/>
  <c r="BN120" i="1"/>
  <c r="BM120" i="1"/>
  <c r="BL120" i="1"/>
  <c r="BK120" i="1"/>
  <c r="BJ120" i="1"/>
  <c r="BI120" i="1"/>
  <c r="BH120" i="1"/>
  <c r="BG120" i="1"/>
  <c r="BC120" i="1"/>
  <c r="BD120" i="1" s="1"/>
  <c r="CD119" i="1"/>
  <c r="CC119" i="1"/>
  <c r="CB119" i="1"/>
  <c r="CA119" i="1"/>
  <c r="BZ119" i="1"/>
  <c r="BY119" i="1"/>
  <c r="BX119" i="1"/>
  <c r="BW119" i="1"/>
  <c r="BV119" i="1"/>
  <c r="BU119" i="1"/>
  <c r="BT119" i="1"/>
  <c r="BS119" i="1"/>
  <c r="BR119" i="1"/>
  <c r="BQ119" i="1"/>
  <c r="BP119" i="1"/>
  <c r="BO119" i="1"/>
  <c r="BN119" i="1"/>
  <c r="BM119" i="1"/>
  <c r="BL119" i="1"/>
  <c r="BK119" i="1"/>
  <c r="BJ119" i="1"/>
  <c r="BI119" i="1"/>
  <c r="BH119" i="1"/>
  <c r="BG119" i="1"/>
  <c r="BC119" i="1"/>
  <c r="BD119" i="1" s="1"/>
  <c r="CD118" i="1"/>
  <c r="CC118" i="1"/>
  <c r="CB118" i="1"/>
  <c r="CA118" i="1"/>
  <c r="BZ118" i="1"/>
  <c r="BY118" i="1"/>
  <c r="BX118" i="1"/>
  <c r="BW118" i="1"/>
  <c r="BV118" i="1"/>
  <c r="BU118" i="1"/>
  <c r="BT118" i="1"/>
  <c r="BS118" i="1"/>
  <c r="BR118" i="1"/>
  <c r="BQ118" i="1"/>
  <c r="BP118" i="1"/>
  <c r="BO118" i="1"/>
  <c r="BN118" i="1"/>
  <c r="BM118" i="1"/>
  <c r="BL118" i="1"/>
  <c r="BK118" i="1"/>
  <c r="BJ118" i="1"/>
  <c r="BI118" i="1"/>
  <c r="BH118" i="1"/>
  <c r="BG118" i="1"/>
  <c r="BC118" i="1"/>
  <c r="BD118" i="1" s="1"/>
  <c r="CD117" i="1"/>
  <c r="CC117" i="1"/>
  <c r="CB117" i="1"/>
  <c r="CA117" i="1"/>
  <c r="BZ117" i="1"/>
  <c r="BY117" i="1"/>
  <c r="BX117" i="1"/>
  <c r="BW117" i="1"/>
  <c r="BV117" i="1"/>
  <c r="BU117" i="1"/>
  <c r="BT117" i="1"/>
  <c r="BS117" i="1"/>
  <c r="BR117" i="1"/>
  <c r="BQ117" i="1"/>
  <c r="BP117" i="1"/>
  <c r="BO117" i="1"/>
  <c r="BN117" i="1"/>
  <c r="BM117" i="1"/>
  <c r="BL117" i="1"/>
  <c r="BK117" i="1"/>
  <c r="BJ117" i="1"/>
  <c r="BI117" i="1"/>
  <c r="BH117" i="1"/>
  <c r="BG117" i="1"/>
  <c r="BC117" i="1"/>
  <c r="BD117" i="1" s="1"/>
  <c r="CD116" i="1"/>
  <c r="CC116" i="1"/>
  <c r="CB116" i="1"/>
  <c r="CA116" i="1"/>
  <c r="BZ116" i="1"/>
  <c r="BY116" i="1"/>
  <c r="BX116" i="1"/>
  <c r="BW116" i="1"/>
  <c r="BV116" i="1"/>
  <c r="BU116" i="1"/>
  <c r="BT116" i="1"/>
  <c r="BS116" i="1"/>
  <c r="BR116" i="1"/>
  <c r="BQ116" i="1"/>
  <c r="BP116" i="1"/>
  <c r="BO116" i="1"/>
  <c r="BN116" i="1"/>
  <c r="BM116" i="1"/>
  <c r="BL116" i="1"/>
  <c r="BK116" i="1"/>
  <c r="BJ116" i="1"/>
  <c r="BI116" i="1"/>
  <c r="BH116" i="1"/>
  <c r="BG116" i="1"/>
  <c r="BC116" i="1"/>
  <c r="BD116" i="1" s="1"/>
  <c r="CD115" i="1"/>
  <c r="CC115" i="1"/>
  <c r="CB115" i="1"/>
  <c r="CA115" i="1"/>
  <c r="BZ115" i="1"/>
  <c r="BY115" i="1"/>
  <c r="BX115" i="1"/>
  <c r="BW115" i="1"/>
  <c r="BV115" i="1"/>
  <c r="BU115" i="1"/>
  <c r="BT115" i="1"/>
  <c r="BS115" i="1"/>
  <c r="BR115" i="1"/>
  <c r="BQ115" i="1"/>
  <c r="BP115" i="1"/>
  <c r="BO115" i="1"/>
  <c r="BN115" i="1"/>
  <c r="BM115" i="1"/>
  <c r="BL115" i="1"/>
  <c r="BK115" i="1"/>
  <c r="BJ115" i="1"/>
  <c r="BI115" i="1"/>
  <c r="BH115" i="1"/>
  <c r="BG115" i="1"/>
  <c r="BC115" i="1"/>
  <c r="BD115" i="1" s="1"/>
  <c r="CD114" i="1"/>
  <c r="CC114" i="1"/>
  <c r="CB114" i="1"/>
  <c r="CA114" i="1"/>
  <c r="BZ114" i="1"/>
  <c r="BY114" i="1"/>
  <c r="BX114" i="1"/>
  <c r="BW114" i="1"/>
  <c r="BV114" i="1"/>
  <c r="BU114" i="1"/>
  <c r="BT114" i="1"/>
  <c r="BS114" i="1"/>
  <c r="BR114" i="1"/>
  <c r="BQ114" i="1"/>
  <c r="BP114" i="1"/>
  <c r="BO114" i="1"/>
  <c r="BN114" i="1"/>
  <c r="BM114" i="1"/>
  <c r="BL114" i="1"/>
  <c r="BK114" i="1"/>
  <c r="BJ114" i="1"/>
  <c r="BI114" i="1"/>
  <c r="BH114" i="1"/>
  <c r="BG114" i="1"/>
  <c r="BC114" i="1"/>
  <c r="BD114" i="1" s="1"/>
  <c r="CD113" i="1"/>
  <c r="CC113" i="1"/>
  <c r="CB113" i="1"/>
  <c r="CA113" i="1"/>
  <c r="BZ113" i="1"/>
  <c r="BY113" i="1"/>
  <c r="BX113" i="1"/>
  <c r="BW113" i="1"/>
  <c r="BV113" i="1"/>
  <c r="BU113" i="1"/>
  <c r="BT113" i="1"/>
  <c r="BS113" i="1"/>
  <c r="BR113" i="1"/>
  <c r="BQ113" i="1"/>
  <c r="BP113" i="1"/>
  <c r="BO113" i="1"/>
  <c r="BN113" i="1"/>
  <c r="BM113" i="1"/>
  <c r="BL113" i="1"/>
  <c r="BK113" i="1"/>
  <c r="BJ113" i="1"/>
  <c r="BI113" i="1"/>
  <c r="BH113" i="1"/>
  <c r="BG113" i="1"/>
  <c r="BC113" i="1"/>
  <c r="BD113" i="1" s="1"/>
  <c r="CD112" i="1"/>
  <c r="CC112" i="1"/>
  <c r="CB112" i="1"/>
  <c r="CA112" i="1"/>
  <c r="BZ112" i="1"/>
  <c r="BY112" i="1"/>
  <c r="BX112" i="1"/>
  <c r="BW112" i="1"/>
  <c r="BV112" i="1"/>
  <c r="BU112" i="1"/>
  <c r="BT112" i="1"/>
  <c r="BS112" i="1"/>
  <c r="BR112" i="1"/>
  <c r="BQ112" i="1"/>
  <c r="BP112" i="1"/>
  <c r="BO112" i="1"/>
  <c r="BN112" i="1"/>
  <c r="BM112" i="1"/>
  <c r="BL112" i="1"/>
  <c r="BK112" i="1"/>
  <c r="BJ112" i="1"/>
  <c r="BI112" i="1"/>
  <c r="BH112" i="1"/>
  <c r="BG112" i="1"/>
  <c r="BC112" i="1"/>
  <c r="BD112" i="1" s="1"/>
  <c r="CD111" i="1"/>
  <c r="CC111" i="1"/>
  <c r="CB111" i="1"/>
  <c r="CA111" i="1"/>
  <c r="BZ111" i="1"/>
  <c r="BY111" i="1"/>
  <c r="BX111" i="1"/>
  <c r="BW111" i="1"/>
  <c r="BV111" i="1"/>
  <c r="BU111" i="1"/>
  <c r="BT111" i="1"/>
  <c r="BS111" i="1"/>
  <c r="BR111" i="1"/>
  <c r="BQ111" i="1"/>
  <c r="BP111" i="1"/>
  <c r="BO111" i="1"/>
  <c r="BN111" i="1"/>
  <c r="BM111" i="1"/>
  <c r="BL111" i="1"/>
  <c r="BK111" i="1"/>
  <c r="BJ111" i="1"/>
  <c r="BI111" i="1"/>
  <c r="BH111" i="1"/>
  <c r="BG111" i="1"/>
  <c r="BC111" i="1"/>
  <c r="BD111" i="1" s="1"/>
  <c r="CD110" i="1"/>
  <c r="CC110" i="1"/>
  <c r="CB110" i="1"/>
  <c r="CA110" i="1"/>
  <c r="BZ110" i="1"/>
  <c r="BY110" i="1"/>
  <c r="BX110" i="1"/>
  <c r="BW110" i="1"/>
  <c r="BV110" i="1"/>
  <c r="BU110" i="1"/>
  <c r="BT110" i="1"/>
  <c r="BS110" i="1"/>
  <c r="BR110" i="1"/>
  <c r="BQ110" i="1"/>
  <c r="BP110" i="1"/>
  <c r="BO110" i="1"/>
  <c r="BN110" i="1"/>
  <c r="BM110" i="1"/>
  <c r="BL110" i="1"/>
  <c r="BK110" i="1"/>
  <c r="BJ110" i="1"/>
  <c r="BI110" i="1"/>
  <c r="BH110" i="1"/>
  <c r="BG110" i="1"/>
  <c r="BC110" i="1"/>
  <c r="BD110" i="1" s="1"/>
  <c r="CD109" i="1"/>
  <c r="CC109" i="1"/>
  <c r="CB109" i="1"/>
  <c r="CA109" i="1"/>
  <c r="BZ109" i="1"/>
  <c r="BY109" i="1"/>
  <c r="BX109" i="1"/>
  <c r="BW109" i="1"/>
  <c r="BV109" i="1"/>
  <c r="BU109" i="1"/>
  <c r="BT109" i="1"/>
  <c r="BS109" i="1"/>
  <c r="BR109" i="1"/>
  <c r="BQ109" i="1"/>
  <c r="BP109" i="1"/>
  <c r="BO109" i="1"/>
  <c r="BN109" i="1"/>
  <c r="BM109" i="1"/>
  <c r="BL109" i="1"/>
  <c r="BK109" i="1"/>
  <c r="BJ109" i="1"/>
  <c r="BI109" i="1"/>
  <c r="BH109" i="1"/>
  <c r="BG109" i="1"/>
  <c r="BC109" i="1"/>
  <c r="BD109" i="1" s="1"/>
  <c r="CD108" i="1"/>
  <c r="CC108" i="1"/>
  <c r="CB108" i="1"/>
  <c r="CA108" i="1"/>
  <c r="BZ108" i="1"/>
  <c r="BY108" i="1"/>
  <c r="BX108" i="1"/>
  <c r="BW108" i="1"/>
  <c r="BV108" i="1"/>
  <c r="BU108" i="1"/>
  <c r="BT108" i="1"/>
  <c r="BS108" i="1"/>
  <c r="BR108" i="1"/>
  <c r="BQ108" i="1"/>
  <c r="BP108" i="1"/>
  <c r="BO108" i="1"/>
  <c r="BN108" i="1"/>
  <c r="BM108" i="1"/>
  <c r="BL108" i="1"/>
  <c r="BK108" i="1"/>
  <c r="BJ108" i="1"/>
  <c r="BI108" i="1"/>
  <c r="BH108" i="1"/>
  <c r="BG108" i="1"/>
  <c r="BC108" i="1"/>
  <c r="BD108" i="1" s="1"/>
  <c r="CD107" i="1"/>
  <c r="CC107" i="1"/>
  <c r="CB107" i="1"/>
  <c r="CA107" i="1"/>
  <c r="BZ107" i="1"/>
  <c r="BY107" i="1"/>
  <c r="BX107" i="1"/>
  <c r="BW107" i="1"/>
  <c r="BV107" i="1"/>
  <c r="BU107" i="1"/>
  <c r="BT107" i="1"/>
  <c r="BS107" i="1"/>
  <c r="BR107" i="1"/>
  <c r="BQ107" i="1"/>
  <c r="BP107" i="1"/>
  <c r="BO107" i="1"/>
  <c r="BN107" i="1"/>
  <c r="BM107" i="1"/>
  <c r="BL107" i="1"/>
  <c r="BK107" i="1"/>
  <c r="BJ107" i="1"/>
  <c r="BI107" i="1"/>
  <c r="BH107" i="1"/>
  <c r="BG107" i="1"/>
  <c r="BC107" i="1"/>
  <c r="BD107" i="1" s="1"/>
  <c r="CD106" i="1"/>
  <c r="CC106" i="1"/>
  <c r="CB106" i="1"/>
  <c r="CA106" i="1"/>
  <c r="BZ106" i="1"/>
  <c r="BY106" i="1"/>
  <c r="BX106" i="1"/>
  <c r="BW106" i="1"/>
  <c r="BV106" i="1"/>
  <c r="BU106" i="1"/>
  <c r="BT106" i="1"/>
  <c r="BS106" i="1"/>
  <c r="BR106" i="1"/>
  <c r="BQ106" i="1"/>
  <c r="BP106" i="1"/>
  <c r="BO106" i="1"/>
  <c r="BN106" i="1"/>
  <c r="BM106" i="1"/>
  <c r="BL106" i="1"/>
  <c r="BK106" i="1"/>
  <c r="BJ106" i="1"/>
  <c r="BI106" i="1"/>
  <c r="BH106" i="1"/>
  <c r="BG106" i="1"/>
  <c r="BC106" i="1"/>
  <c r="BD106" i="1" s="1"/>
  <c r="CD105" i="1"/>
  <c r="CC105" i="1"/>
  <c r="CB105" i="1"/>
  <c r="CA105" i="1"/>
  <c r="BZ105" i="1"/>
  <c r="BY105" i="1"/>
  <c r="BX105" i="1"/>
  <c r="BW105" i="1"/>
  <c r="BV105" i="1"/>
  <c r="BU105" i="1"/>
  <c r="BT105" i="1"/>
  <c r="BS105" i="1"/>
  <c r="BR105" i="1"/>
  <c r="BQ105" i="1"/>
  <c r="BP105" i="1"/>
  <c r="BO105" i="1"/>
  <c r="BN105" i="1"/>
  <c r="BM105" i="1"/>
  <c r="BL105" i="1"/>
  <c r="BK105" i="1"/>
  <c r="BJ105" i="1"/>
  <c r="BI105" i="1"/>
  <c r="BH105" i="1"/>
  <c r="BG105" i="1"/>
  <c r="BC105" i="1"/>
  <c r="BD105" i="1" s="1"/>
  <c r="CD104" i="1"/>
  <c r="CC104" i="1"/>
  <c r="CB104" i="1"/>
  <c r="CA104" i="1"/>
  <c r="BZ104" i="1"/>
  <c r="BY104" i="1"/>
  <c r="BX104" i="1"/>
  <c r="BW104" i="1"/>
  <c r="BV104" i="1"/>
  <c r="BU104" i="1"/>
  <c r="BT104" i="1"/>
  <c r="BS104" i="1"/>
  <c r="BR104" i="1"/>
  <c r="BQ104" i="1"/>
  <c r="BP104" i="1"/>
  <c r="BO104" i="1"/>
  <c r="BN104" i="1"/>
  <c r="BM104" i="1"/>
  <c r="BL104" i="1"/>
  <c r="BK104" i="1"/>
  <c r="BJ104" i="1"/>
  <c r="BI104" i="1"/>
  <c r="BH104" i="1"/>
  <c r="BG104" i="1"/>
  <c r="BC104" i="1"/>
  <c r="BD104" i="1" s="1"/>
  <c r="CD103" i="1"/>
  <c r="CC103" i="1"/>
  <c r="CB103" i="1"/>
  <c r="CA103" i="1"/>
  <c r="BZ103" i="1"/>
  <c r="BY103" i="1"/>
  <c r="BX103" i="1"/>
  <c r="BW103" i="1"/>
  <c r="BV103" i="1"/>
  <c r="BU103" i="1"/>
  <c r="BT103" i="1"/>
  <c r="BS103" i="1"/>
  <c r="BR103" i="1"/>
  <c r="BQ103" i="1"/>
  <c r="BP103" i="1"/>
  <c r="BO103" i="1"/>
  <c r="BN103" i="1"/>
  <c r="BM103" i="1"/>
  <c r="BL103" i="1"/>
  <c r="BK103" i="1"/>
  <c r="BJ103" i="1"/>
  <c r="BI103" i="1"/>
  <c r="BH103" i="1"/>
  <c r="BG103" i="1"/>
  <c r="BC103" i="1"/>
  <c r="BD103" i="1" s="1"/>
  <c r="CD102" i="1"/>
  <c r="CC102" i="1"/>
  <c r="CB102" i="1"/>
  <c r="CA102" i="1"/>
  <c r="BZ102" i="1"/>
  <c r="BY102" i="1"/>
  <c r="BX102" i="1"/>
  <c r="BW102" i="1"/>
  <c r="BV102" i="1"/>
  <c r="BU102" i="1"/>
  <c r="BT102" i="1"/>
  <c r="BS102" i="1"/>
  <c r="BR102" i="1"/>
  <c r="BQ102" i="1"/>
  <c r="BP102" i="1"/>
  <c r="BO102" i="1"/>
  <c r="BN102" i="1"/>
  <c r="BM102" i="1"/>
  <c r="BL102" i="1"/>
  <c r="BK102" i="1"/>
  <c r="BJ102" i="1"/>
  <c r="BI102" i="1"/>
  <c r="BH102" i="1"/>
  <c r="BG102" i="1"/>
  <c r="BC102" i="1"/>
  <c r="BD102" i="1" s="1"/>
  <c r="CD101" i="1"/>
  <c r="CC101" i="1"/>
  <c r="CB101" i="1"/>
  <c r="CA101" i="1"/>
  <c r="BZ101" i="1"/>
  <c r="BY101" i="1"/>
  <c r="BX101" i="1"/>
  <c r="BW101" i="1"/>
  <c r="BV101" i="1"/>
  <c r="BU101" i="1"/>
  <c r="BT101" i="1"/>
  <c r="BS101" i="1"/>
  <c r="BR101" i="1"/>
  <c r="BQ101" i="1"/>
  <c r="BP101" i="1"/>
  <c r="BO101" i="1"/>
  <c r="BN101" i="1"/>
  <c r="BM101" i="1"/>
  <c r="BL101" i="1"/>
  <c r="BK101" i="1"/>
  <c r="BJ101" i="1"/>
  <c r="BI101" i="1"/>
  <c r="BH101" i="1"/>
  <c r="BG101" i="1"/>
  <c r="BC101" i="1"/>
  <c r="BD101" i="1" s="1"/>
  <c r="CD100" i="1"/>
  <c r="CC100" i="1"/>
  <c r="CB100" i="1"/>
  <c r="CA100" i="1"/>
  <c r="BZ100" i="1"/>
  <c r="BY100" i="1"/>
  <c r="BX100" i="1"/>
  <c r="BW100" i="1"/>
  <c r="BV100" i="1"/>
  <c r="BU100" i="1"/>
  <c r="BT100" i="1"/>
  <c r="BS100" i="1"/>
  <c r="BR100" i="1"/>
  <c r="BQ100" i="1"/>
  <c r="BP100" i="1"/>
  <c r="BO100" i="1"/>
  <c r="BN100" i="1"/>
  <c r="BM100" i="1"/>
  <c r="BL100" i="1"/>
  <c r="BK100" i="1"/>
  <c r="BJ100" i="1"/>
  <c r="BI100" i="1"/>
  <c r="BH100" i="1"/>
  <c r="BG100" i="1"/>
  <c r="BC100" i="1"/>
  <c r="BD100" i="1" s="1"/>
  <c r="CD99" i="1"/>
  <c r="CC99" i="1"/>
  <c r="CB99" i="1"/>
  <c r="CA99" i="1"/>
  <c r="BZ99" i="1"/>
  <c r="BY99" i="1"/>
  <c r="BX99" i="1"/>
  <c r="BW99" i="1"/>
  <c r="BV99" i="1"/>
  <c r="BU99" i="1"/>
  <c r="BT99" i="1"/>
  <c r="BS99" i="1"/>
  <c r="BR99" i="1"/>
  <c r="BQ99" i="1"/>
  <c r="BP99" i="1"/>
  <c r="BO99" i="1"/>
  <c r="BN99" i="1"/>
  <c r="BM99" i="1"/>
  <c r="BL99" i="1"/>
  <c r="BK99" i="1"/>
  <c r="BJ99" i="1"/>
  <c r="BI99" i="1"/>
  <c r="BH99" i="1"/>
  <c r="BG99" i="1"/>
  <c r="BC99" i="1"/>
  <c r="BD99" i="1" s="1"/>
  <c r="CD98" i="1"/>
  <c r="CC98" i="1"/>
  <c r="CB98" i="1"/>
  <c r="CA98" i="1"/>
  <c r="BZ98" i="1"/>
  <c r="BY98" i="1"/>
  <c r="BX98" i="1"/>
  <c r="BW98" i="1"/>
  <c r="BV98" i="1"/>
  <c r="BU98" i="1"/>
  <c r="BT98" i="1"/>
  <c r="BS98" i="1"/>
  <c r="BR98" i="1"/>
  <c r="BQ98" i="1"/>
  <c r="BP98" i="1"/>
  <c r="BO98" i="1"/>
  <c r="BN98" i="1"/>
  <c r="BM98" i="1"/>
  <c r="BL98" i="1"/>
  <c r="BK98" i="1"/>
  <c r="BJ98" i="1"/>
  <c r="BI98" i="1"/>
  <c r="BH98" i="1"/>
  <c r="BG98" i="1"/>
  <c r="BC98" i="1"/>
  <c r="BD98" i="1" s="1"/>
  <c r="CD97" i="1"/>
  <c r="CC97" i="1"/>
  <c r="CB97" i="1"/>
  <c r="CA97" i="1"/>
  <c r="BZ97" i="1"/>
  <c r="BY97" i="1"/>
  <c r="BX97" i="1"/>
  <c r="BW97" i="1"/>
  <c r="BV97" i="1"/>
  <c r="BU97" i="1"/>
  <c r="BT97" i="1"/>
  <c r="BS97" i="1"/>
  <c r="BR97" i="1"/>
  <c r="BQ97" i="1"/>
  <c r="BP97" i="1"/>
  <c r="BO97" i="1"/>
  <c r="BN97" i="1"/>
  <c r="BM97" i="1"/>
  <c r="BL97" i="1"/>
  <c r="BK97" i="1"/>
  <c r="BJ97" i="1"/>
  <c r="BI97" i="1"/>
  <c r="BH97" i="1"/>
  <c r="BG97" i="1"/>
  <c r="BC97" i="1"/>
  <c r="BD97" i="1" s="1"/>
  <c r="CD96" i="1"/>
  <c r="CC96" i="1"/>
  <c r="CB96" i="1"/>
  <c r="CA96" i="1"/>
  <c r="BZ96" i="1"/>
  <c r="BY96" i="1"/>
  <c r="BX96" i="1"/>
  <c r="BW96" i="1"/>
  <c r="BV96" i="1"/>
  <c r="BU96" i="1"/>
  <c r="BT96" i="1"/>
  <c r="BS96" i="1"/>
  <c r="BR96" i="1"/>
  <c r="BQ96" i="1"/>
  <c r="BP96" i="1"/>
  <c r="BO96" i="1"/>
  <c r="BN96" i="1"/>
  <c r="BM96" i="1"/>
  <c r="BL96" i="1"/>
  <c r="BK96" i="1"/>
  <c r="BJ96" i="1"/>
  <c r="BI96" i="1"/>
  <c r="BH96" i="1"/>
  <c r="BG96" i="1"/>
  <c r="BC96" i="1"/>
  <c r="BD96" i="1" s="1"/>
  <c r="CD95" i="1"/>
  <c r="CC95" i="1"/>
  <c r="CB95" i="1"/>
  <c r="CA95" i="1"/>
  <c r="BZ95" i="1"/>
  <c r="BY95" i="1"/>
  <c r="BX95" i="1"/>
  <c r="BW95" i="1"/>
  <c r="BV95" i="1"/>
  <c r="BU95" i="1"/>
  <c r="BT95" i="1"/>
  <c r="BS95" i="1"/>
  <c r="BR95" i="1"/>
  <c r="BQ95" i="1"/>
  <c r="BP95" i="1"/>
  <c r="BO95" i="1"/>
  <c r="BN95" i="1"/>
  <c r="BM95" i="1"/>
  <c r="BL95" i="1"/>
  <c r="BK95" i="1"/>
  <c r="BJ95" i="1"/>
  <c r="BI95" i="1"/>
  <c r="BH95" i="1"/>
  <c r="BG95" i="1"/>
  <c r="BC95" i="1"/>
  <c r="BD95" i="1" s="1"/>
  <c r="CD94" i="1"/>
  <c r="CC94" i="1"/>
  <c r="CB94" i="1"/>
  <c r="CA94" i="1"/>
  <c r="BZ94" i="1"/>
  <c r="BY94" i="1"/>
  <c r="BX94" i="1"/>
  <c r="BW94" i="1"/>
  <c r="BV94" i="1"/>
  <c r="BU94" i="1"/>
  <c r="BT94" i="1"/>
  <c r="BS94" i="1"/>
  <c r="BR94" i="1"/>
  <c r="BQ94" i="1"/>
  <c r="BP94" i="1"/>
  <c r="BO94" i="1"/>
  <c r="BN94" i="1"/>
  <c r="BM94" i="1"/>
  <c r="BL94" i="1"/>
  <c r="BK94" i="1"/>
  <c r="BJ94" i="1"/>
  <c r="BI94" i="1"/>
  <c r="BH94" i="1"/>
  <c r="BG94" i="1"/>
  <c r="BC94" i="1"/>
  <c r="BD94" i="1" s="1"/>
  <c r="CD93" i="1"/>
  <c r="CC93" i="1"/>
  <c r="CB93" i="1"/>
  <c r="CA93" i="1"/>
  <c r="BZ93" i="1"/>
  <c r="BY93" i="1"/>
  <c r="BX93" i="1"/>
  <c r="BW93" i="1"/>
  <c r="BV93" i="1"/>
  <c r="BU93" i="1"/>
  <c r="BT93" i="1"/>
  <c r="BS93" i="1"/>
  <c r="BR93" i="1"/>
  <c r="BQ93" i="1"/>
  <c r="BP93" i="1"/>
  <c r="BO93" i="1"/>
  <c r="BN93" i="1"/>
  <c r="BM93" i="1"/>
  <c r="BL93" i="1"/>
  <c r="BK93" i="1"/>
  <c r="BJ93" i="1"/>
  <c r="BI93" i="1"/>
  <c r="BH93" i="1"/>
  <c r="BG93" i="1"/>
  <c r="BC93" i="1"/>
  <c r="BD93" i="1" s="1"/>
  <c r="CD92" i="1"/>
  <c r="CC92" i="1"/>
  <c r="CB92" i="1"/>
  <c r="CA92" i="1"/>
  <c r="BZ92" i="1"/>
  <c r="BY92" i="1"/>
  <c r="BX92" i="1"/>
  <c r="BW92" i="1"/>
  <c r="BV92" i="1"/>
  <c r="BU92" i="1"/>
  <c r="BT92" i="1"/>
  <c r="BS92" i="1"/>
  <c r="BR92" i="1"/>
  <c r="BQ92" i="1"/>
  <c r="BP92" i="1"/>
  <c r="BO92" i="1"/>
  <c r="BN92" i="1"/>
  <c r="BM92" i="1"/>
  <c r="BL92" i="1"/>
  <c r="BK92" i="1"/>
  <c r="BJ92" i="1"/>
  <c r="BI92" i="1"/>
  <c r="BH92" i="1"/>
  <c r="BG92" i="1"/>
  <c r="BC92" i="1"/>
  <c r="BD92" i="1" s="1"/>
  <c r="CD91" i="1"/>
  <c r="CC91" i="1"/>
  <c r="CB91" i="1"/>
  <c r="CA91" i="1"/>
  <c r="BZ91" i="1"/>
  <c r="BY91" i="1"/>
  <c r="BX91" i="1"/>
  <c r="BW91" i="1"/>
  <c r="BV91" i="1"/>
  <c r="BU91" i="1"/>
  <c r="BT91" i="1"/>
  <c r="BS91" i="1"/>
  <c r="BR91" i="1"/>
  <c r="BQ91" i="1"/>
  <c r="BP91" i="1"/>
  <c r="BO91" i="1"/>
  <c r="BN91" i="1"/>
  <c r="BM91" i="1"/>
  <c r="BL91" i="1"/>
  <c r="BK91" i="1"/>
  <c r="BJ91" i="1"/>
  <c r="BI91" i="1"/>
  <c r="BH91" i="1"/>
  <c r="BG91" i="1"/>
  <c r="BC91" i="1"/>
  <c r="BD91" i="1" s="1"/>
  <c r="CD90" i="1"/>
  <c r="CC90" i="1"/>
  <c r="CB90" i="1"/>
  <c r="CA90" i="1"/>
  <c r="BZ90" i="1"/>
  <c r="BY90" i="1"/>
  <c r="BX90" i="1"/>
  <c r="BW90" i="1"/>
  <c r="BV90" i="1"/>
  <c r="BU90" i="1"/>
  <c r="BT90" i="1"/>
  <c r="BS90" i="1"/>
  <c r="BR90" i="1"/>
  <c r="BQ90" i="1"/>
  <c r="BP90" i="1"/>
  <c r="BO90" i="1"/>
  <c r="BN90" i="1"/>
  <c r="BM90" i="1"/>
  <c r="BL90" i="1"/>
  <c r="BK90" i="1"/>
  <c r="BJ90" i="1"/>
  <c r="BI90" i="1"/>
  <c r="BH90" i="1"/>
  <c r="BG90" i="1"/>
  <c r="BC90" i="1"/>
  <c r="BD90" i="1" s="1"/>
  <c r="CD89" i="1"/>
  <c r="CC89" i="1"/>
  <c r="CB89" i="1"/>
  <c r="CA89" i="1"/>
  <c r="BZ89" i="1"/>
  <c r="BY89" i="1"/>
  <c r="BX89" i="1"/>
  <c r="BW89" i="1"/>
  <c r="BV89" i="1"/>
  <c r="BU89" i="1"/>
  <c r="BT89" i="1"/>
  <c r="BS89" i="1"/>
  <c r="BR89" i="1"/>
  <c r="BQ89" i="1"/>
  <c r="BP89" i="1"/>
  <c r="BO89" i="1"/>
  <c r="BN89" i="1"/>
  <c r="BM89" i="1"/>
  <c r="BL89" i="1"/>
  <c r="BK89" i="1"/>
  <c r="BJ89" i="1"/>
  <c r="BI89" i="1"/>
  <c r="BH89" i="1"/>
  <c r="BG89" i="1"/>
  <c r="BC89" i="1"/>
  <c r="BD89" i="1" s="1"/>
  <c r="CD88" i="1"/>
  <c r="CC88" i="1"/>
  <c r="CB88" i="1"/>
  <c r="CA88" i="1"/>
  <c r="BZ88" i="1"/>
  <c r="BY88" i="1"/>
  <c r="BX88" i="1"/>
  <c r="BW88" i="1"/>
  <c r="BV88" i="1"/>
  <c r="BU88" i="1"/>
  <c r="BT88" i="1"/>
  <c r="BS88" i="1"/>
  <c r="BR88" i="1"/>
  <c r="BQ88" i="1"/>
  <c r="BP88" i="1"/>
  <c r="BO88" i="1"/>
  <c r="BN88" i="1"/>
  <c r="BM88" i="1"/>
  <c r="BL88" i="1"/>
  <c r="BK88" i="1"/>
  <c r="BJ88" i="1"/>
  <c r="BI88" i="1"/>
  <c r="BH88" i="1"/>
  <c r="BG88" i="1"/>
  <c r="BC88" i="1"/>
  <c r="BD88" i="1" s="1"/>
  <c r="CD87" i="1"/>
  <c r="CC87" i="1"/>
  <c r="CB87" i="1"/>
  <c r="CA87" i="1"/>
  <c r="BZ87" i="1"/>
  <c r="BY87" i="1"/>
  <c r="BX87" i="1"/>
  <c r="BW87" i="1"/>
  <c r="BV87" i="1"/>
  <c r="BU87" i="1"/>
  <c r="BT87" i="1"/>
  <c r="BS87" i="1"/>
  <c r="BR87" i="1"/>
  <c r="BQ87" i="1"/>
  <c r="BP87" i="1"/>
  <c r="BO87" i="1"/>
  <c r="BN87" i="1"/>
  <c r="BM87" i="1"/>
  <c r="BL87" i="1"/>
  <c r="BK87" i="1"/>
  <c r="BJ87" i="1"/>
  <c r="BI87" i="1"/>
  <c r="BH87" i="1"/>
  <c r="BG87" i="1"/>
  <c r="BC87" i="1"/>
  <c r="BD87" i="1" s="1"/>
  <c r="CD86" i="1"/>
  <c r="CC86" i="1"/>
  <c r="CB86" i="1"/>
  <c r="CA86" i="1"/>
  <c r="BZ86" i="1"/>
  <c r="BY86" i="1"/>
  <c r="BX86" i="1"/>
  <c r="BW86" i="1"/>
  <c r="BV86" i="1"/>
  <c r="BU86" i="1"/>
  <c r="BT86" i="1"/>
  <c r="BS86" i="1"/>
  <c r="BR86" i="1"/>
  <c r="BQ86" i="1"/>
  <c r="BP86" i="1"/>
  <c r="BO86" i="1"/>
  <c r="BN86" i="1"/>
  <c r="BM86" i="1"/>
  <c r="BL86" i="1"/>
  <c r="BK86" i="1"/>
  <c r="BJ86" i="1"/>
  <c r="BI86" i="1"/>
  <c r="BH86" i="1"/>
  <c r="BG86" i="1"/>
  <c r="BC86" i="1"/>
  <c r="BD86" i="1" s="1"/>
  <c r="CD85" i="1"/>
  <c r="CC85" i="1"/>
  <c r="CB85" i="1"/>
  <c r="CA85" i="1"/>
  <c r="BZ85" i="1"/>
  <c r="BY85" i="1"/>
  <c r="BX85" i="1"/>
  <c r="BW85" i="1"/>
  <c r="BV85" i="1"/>
  <c r="BU85" i="1"/>
  <c r="BT85" i="1"/>
  <c r="BS85" i="1"/>
  <c r="BR85" i="1"/>
  <c r="BQ85" i="1"/>
  <c r="BP85" i="1"/>
  <c r="BO85" i="1"/>
  <c r="BN85" i="1"/>
  <c r="BM85" i="1"/>
  <c r="BL85" i="1"/>
  <c r="BK85" i="1"/>
  <c r="BJ85" i="1"/>
  <c r="BI85" i="1"/>
  <c r="BH85" i="1"/>
  <c r="BG85" i="1"/>
  <c r="BC85" i="1"/>
  <c r="BD85" i="1" s="1"/>
  <c r="CD84" i="1"/>
  <c r="CC84" i="1"/>
  <c r="CB84" i="1"/>
  <c r="CA84" i="1"/>
  <c r="BZ84" i="1"/>
  <c r="BY84" i="1"/>
  <c r="BX84" i="1"/>
  <c r="BW84" i="1"/>
  <c r="BV84" i="1"/>
  <c r="BU84" i="1"/>
  <c r="BT84" i="1"/>
  <c r="BS84" i="1"/>
  <c r="BR84" i="1"/>
  <c r="BQ84" i="1"/>
  <c r="BP84" i="1"/>
  <c r="BO84" i="1"/>
  <c r="BN84" i="1"/>
  <c r="BM84" i="1"/>
  <c r="BL84" i="1"/>
  <c r="BK84" i="1"/>
  <c r="BJ84" i="1"/>
  <c r="BI84" i="1"/>
  <c r="BH84" i="1"/>
  <c r="BG84" i="1"/>
  <c r="BC84" i="1"/>
  <c r="BD84" i="1" s="1"/>
  <c r="CD83" i="1"/>
  <c r="CC83" i="1"/>
  <c r="CB83" i="1"/>
  <c r="CA83" i="1"/>
  <c r="BZ83" i="1"/>
  <c r="BY83" i="1"/>
  <c r="BX83" i="1"/>
  <c r="BW83" i="1"/>
  <c r="BV83" i="1"/>
  <c r="BU83" i="1"/>
  <c r="BT83" i="1"/>
  <c r="BS83" i="1"/>
  <c r="BR83" i="1"/>
  <c r="BQ83" i="1"/>
  <c r="BP83" i="1"/>
  <c r="BO83" i="1"/>
  <c r="BN83" i="1"/>
  <c r="BM83" i="1"/>
  <c r="BL83" i="1"/>
  <c r="BK83" i="1"/>
  <c r="BJ83" i="1"/>
  <c r="BI83" i="1"/>
  <c r="BH83" i="1"/>
  <c r="BG83" i="1"/>
  <c r="BC83" i="1"/>
  <c r="BD83" i="1" s="1"/>
  <c r="CD82" i="1"/>
  <c r="CC82" i="1"/>
  <c r="CB82" i="1"/>
  <c r="CA82" i="1"/>
  <c r="BZ82" i="1"/>
  <c r="BY82" i="1"/>
  <c r="BX82" i="1"/>
  <c r="BW82" i="1"/>
  <c r="BV82" i="1"/>
  <c r="BU82" i="1"/>
  <c r="BT82" i="1"/>
  <c r="BS82" i="1"/>
  <c r="BR82" i="1"/>
  <c r="BQ82" i="1"/>
  <c r="BP82" i="1"/>
  <c r="BO82" i="1"/>
  <c r="BN82" i="1"/>
  <c r="BM82" i="1"/>
  <c r="BL82" i="1"/>
  <c r="BK82" i="1"/>
  <c r="BJ82" i="1"/>
  <c r="BI82" i="1"/>
  <c r="BH82" i="1"/>
  <c r="BG82" i="1"/>
  <c r="BC82" i="1"/>
  <c r="BD82" i="1" s="1"/>
  <c r="CD81" i="1"/>
  <c r="CC81" i="1"/>
  <c r="CB81" i="1"/>
  <c r="CA81" i="1"/>
  <c r="BZ81" i="1"/>
  <c r="BY81" i="1"/>
  <c r="BX81" i="1"/>
  <c r="BW81" i="1"/>
  <c r="BV81" i="1"/>
  <c r="BU81" i="1"/>
  <c r="BT81" i="1"/>
  <c r="BS81" i="1"/>
  <c r="BR81" i="1"/>
  <c r="BQ81" i="1"/>
  <c r="BP81" i="1"/>
  <c r="BO81" i="1"/>
  <c r="BN81" i="1"/>
  <c r="BM81" i="1"/>
  <c r="BL81" i="1"/>
  <c r="BK81" i="1"/>
  <c r="BJ81" i="1"/>
  <c r="BI81" i="1"/>
  <c r="BH81" i="1"/>
  <c r="BG81" i="1"/>
  <c r="BC81" i="1"/>
  <c r="BD81" i="1" s="1"/>
  <c r="CD80" i="1"/>
  <c r="CC80" i="1"/>
  <c r="CB80" i="1"/>
  <c r="CA80" i="1"/>
  <c r="BZ80" i="1"/>
  <c r="BY80" i="1"/>
  <c r="BX80" i="1"/>
  <c r="BW80" i="1"/>
  <c r="BV80" i="1"/>
  <c r="BU80" i="1"/>
  <c r="BT80" i="1"/>
  <c r="BS80" i="1"/>
  <c r="BR80" i="1"/>
  <c r="BQ80" i="1"/>
  <c r="BP80" i="1"/>
  <c r="BO80" i="1"/>
  <c r="BN80" i="1"/>
  <c r="BM80" i="1"/>
  <c r="BL80" i="1"/>
  <c r="BK80" i="1"/>
  <c r="BJ80" i="1"/>
  <c r="BI80" i="1"/>
  <c r="BH80" i="1"/>
  <c r="BG80" i="1"/>
  <c r="BC80" i="1"/>
  <c r="BD80" i="1" s="1"/>
  <c r="CD79" i="1"/>
  <c r="CC79" i="1"/>
  <c r="CB79" i="1"/>
  <c r="CA79" i="1"/>
  <c r="BZ79" i="1"/>
  <c r="BY79" i="1"/>
  <c r="BX79" i="1"/>
  <c r="BW79" i="1"/>
  <c r="BV79" i="1"/>
  <c r="BU79" i="1"/>
  <c r="BT79" i="1"/>
  <c r="BS79" i="1"/>
  <c r="BR79" i="1"/>
  <c r="BQ79" i="1"/>
  <c r="BP79" i="1"/>
  <c r="BO79" i="1"/>
  <c r="BN79" i="1"/>
  <c r="BM79" i="1"/>
  <c r="BL79" i="1"/>
  <c r="BK79" i="1"/>
  <c r="BJ79" i="1"/>
  <c r="BI79" i="1"/>
  <c r="BH79" i="1"/>
  <c r="BG79" i="1"/>
  <c r="BC79" i="1"/>
  <c r="BD79" i="1" s="1"/>
  <c r="CD78" i="1"/>
  <c r="CC78" i="1"/>
  <c r="CB78" i="1"/>
  <c r="CA78" i="1"/>
  <c r="BZ78" i="1"/>
  <c r="BY78" i="1"/>
  <c r="BX78" i="1"/>
  <c r="BW78" i="1"/>
  <c r="BV78" i="1"/>
  <c r="BU78" i="1"/>
  <c r="BT78" i="1"/>
  <c r="BS78" i="1"/>
  <c r="BR78" i="1"/>
  <c r="BQ78" i="1"/>
  <c r="BP78" i="1"/>
  <c r="BO78" i="1"/>
  <c r="BN78" i="1"/>
  <c r="BM78" i="1"/>
  <c r="BL78" i="1"/>
  <c r="BK78" i="1"/>
  <c r="BJ78" i="1"/>
  <c r="BI78" i="1"/>
  <c r="BH78" i="1"/>
  <c r="BG78" i="1"/>
  <c r="BC78" i="1"/>
  <c r="BD78" i="1" s="1"/>
  <c r="CD77" i="1"/>
  <c r="CC77" i="1"/>
  <c r="CB77" i="1"/>
  <c r="CA77" i="1"/>
  <c r="BZ77" i="1"/>
  <c r="BY77" i="1"/>
  <c r="BX77" i="1"/>
  <c r="BW77" i="1"/>
  <c r="BV77" i="1"/>
  <c r="BU77" i="1"/>
  <c r="BT77" i="1"/>
  <c r="BS77" i="1"/>
  <c r="BR77" i="1"/>
  <c r="BQ77" i="1"/>
  <c r="BP77" i="1"/>
  <c r="BO77" i="1"/>
  <c r="BN77" i="1"/>
  <c r="BM77" i="1"/>
  <c r="BL77" i="1"/>
  <c r="BK77" i="1"/>
  <c r="BJ77" i="1"/>
  <c r="BI77" i="1"/>
  <c r="BH77" i="1"/>
  <c r="BG77" i="1"/>
  <c r="BC77" i="1"/>
  <c r="BD77" i="1" s="1"/>
  <c r="CD76" i="1"/>
  <c r="CC76" i="1"/>
  <c r="CB76" i="1"/>
  <c r="CA76" i="1"/>
  <c r="BZ76" i="1"/>
  <c r="BY76" i="1"/>
  <c r="BX76" i="1"/>
  <c r="BW76" i="1"/>
  <c r="BV76" i="1"/>
  <c r="BU76" i="1"/>
  <c r="BT76" i="1"/>
  <c r="BS76" i="1"/>
  <c r="BR76" i="1"/>
  <c r="BQ76" i="1"/>
  <c r="BP76" i="1"/>
  <c r="BO76" i="1"/>
  <c r="BN76" i="1"/>
  <c r="BM76" i="1"/>
  <c r="BL76" i="1"/>
  <c r="BK76" i="1"/>
  <c r="BJ76" i="1"/>
  <c r="BI76" i="1"/>
  <c r="BH76" i="1"/>
  <c r="BG76" i="1"/>
  <c r="BC76" i="1"/>
  <c r="BD76" i="1" s="1"/>
  <c r="CD75" i="1"/>
  <c r="CC75" i="1"/>
  <c r="CB75" i="1"/>
  <c r="CA75" i="1"/>
  <c r="BZ75" i="1"/>
  <c r="BY75" i="1"/>
  <c r="BX75" i="1"/>
  <c r="BW75" i="1"/>
  <c r="BV75" i="1"/>
  <c r="BU75" i="1"/>
  <c r="BT75" i="1"/>
  <c r="BS75" i="1"/>
  <c r="BR75" i="1"/>
  <c r="BQ75" i="1"/>
  <c r="BP75" i="1"/>
  <c r="BO75" i="1"/>
  <c r="BN75" i="1"/>
  <c r="BM75" i="1"/>
  <c r="BL75" i="1"/>
  <c r="BK75" i="1"/>
  <c r="BJ75" i="1"/>
  <c r="BI75" i="1"/>
  <c r="BH75" i="1"/>
  <c r="BG75" i="1"/>
  <c r="BC75" i="1"/>
  <c r="BD75" i="1" s="1"/>
  <c r="CD74" i="1"/>
  <c r="CC74" i="1"/>
  <c r="CB74" i="1"/>
  <c r="CA74" i="1"/>
  <c r="BZ74" i="1"/>
  <c r="BY74" i="1"/>
  <c r="BX74" i="1"/>
  <c r="BW74" i="1"/>
  <c r="BV74" i="1"/>
  <c r="BU74" i="1"/>
  <c r="BT74" i="1"/>
  <c r="BS74" i="1"/>
  <c r="BR74" i="1"/>
  <c r="BQ74" i="1"/>
  <c r="BP74" i="1"/>
  <c r="BO74" i="1"/>
  <c r="BN74" i="1"/>
  <c r="BM74" i="1"/>
  <c r="BL74" i="1"/>
  <c r="BK74" i="1"/>
  <c r="BJ74" i="1"/>
  <c r="BI74" i="1"/>
  <c r="BH74" i="1"/>
  <c r="BG74" i="1"/>
  <c r="BC74" i="1"/>
  <c r="BD74" i="1" s="1"/>
  <c r="CD73" i="1"/>
  <c r="CC73" i="1"/>
  <c r="CB73" i="1"/>
  <c r="CA73" i="1"/>
  <c r="BZ73" i="1"/>
  <c r="BY73" i="1"/>
  <c r="BX73" i="1"/>
  <c r="BW73" i="1"/>
  <c r="BV73" i="1"/>
  <c r="BU73" i="1"/>
  <c r="BT73" i="1"/>
  <c r="BS73" i="1"/>
  <c r="BR73" i="1"/>
  <c r="BQ73" i="1"/>
  <c r="BP73" i="1"/>
  <c r="BO73" i="1"/>
  <c r="BN73" i="1"/>
  <c r="BM73" i="1"/>
  <c r="BL73" i="1"/>
  <c r="BK73" i="1"/>
  <c r="BJ73" i="1"/>
  <c r="BI73" i="1"/>
  <c r="BH73" i="1"/>
  <c r="BG73" i="1"/>
  <c r="BC73" i="1"/>
  <c r="BD73" i="1" s="1"/>
  <c r="CD72" i="1"/>
  <c r="CC72" i="1"/>
  <c r="CB72" i="1"/>
  <c r="CA72" i="1"/>
  <c r="BZ72" i="1"/>
  <c r="BY72" i="1"/>
  <c r="BX72" i="1"/>
  <c r="BW72" i="1"/>
  <c r="BV72" i="1"/>
  <c r="BU72" i="1"/>
  <c r="BT72" i="1"/>
  <c r="BS72" i="1"/>
  <c r="BR72" i="1"/>
  <c r="BQ72" i="1"/>
  <c r="BP72" i="1"/>
  <c r="BO72" i="1"/>
  <c r="BN72" i="1"/>
  <c r="BM72" i="1"/>
  <c r="BL72" i="1"/>
  <c r="BK72" i="1"/>
  <c r="BJ72" i="1"/>
  <c r="BI72" i="1"/>
  <c r="BH72" i="1"/>
  <c r="BG72" i="1"/>
  <c r="BC72" i="1"/>
  <c r="BD72" i="1" s="1"/>
  <c r="CD71" i="1"/>
  <c r="CC71" i="1"/>
  <c r="CB71" i="1"/>
  <c r="CA71" i="1"/>
  <c r="BZ71" i="1"/>
  <c r="BY71" i="1"/>
  <c r="BX71" i="1"/>
  <c r="BW71" i="1"/>
  <c r="BV71" i="1"/>
  <c r="BU71" i="1"/>
  <c r="BT71" i="1"/>
  <c r="BS71" i="1"/>
  <c r="BR71" i="1"/>
  <c r="BQ71" i="1"/>
  <c r="BP71" i="1"/>
  <c r="BO71" i="1"/>
  <c r="BN71" i="1"/>
  <c r="BM71" i="1"/>
  <c r="BL71" i="1"/>
  <c r="BK71" i="1"/>
  <c r="BJ71" i="1"/>
  <c r="BI71" i="1"/>
  <c r="BH71" i="1"/>
  <c r="BG71" i="1"/>
  <c r="BC71" i="1"/>
  <c r="BD71" i="1" s="1"/>
  <c r="CD70" i="1"/>
  <c r="CC70" i="1"/>
  <c r="CB70" i="1"/>
  <c r="CA70" i="1"/>
  <c r="BZ70" i="1"/>
  <c r="BY70" i="1"/>
  <c r="BX70" i="1"/>
  <c r="BW70" i="1"/>
  <c r="BV70" i="1"/>
  <c r="BU70" i="1"/>
  <c r="BT70" i="1"/>
  <c r="BS70" i="1"/>
  <c r="BR70" i="1"/>
  <c r="BQ70" i="1"/>
  <c r="BP70" i="1"/>
  <c r="BO70" i="1"/>
  <c r="BN70" i="1"/>
  <c r="BM70" i="1"/>
  <c r="BL70" i="1"/>
  <c r="BK70" i="1"/>
  <c r="BJ70" i="1"/>
  <c r="BI70" i="1"/>
  <c r="BH70" i="1"/>
  <c r="BG70" i="1"/>
  <c r="BC70" i="1"/>
  <c r="BD70" i="1" s="1"/>
  <c r="CD69" i="1"/>
  <c r="CC69" i="1"/>
  <c r="CB69" i="1"/>
  <c r="CA69" i="1"/>
  <c r="BZ69" i="1"/>
  <c r="BY69" i="1"/>
  <c r="BX69" i="1"/>
  <c r="BW69" i="1"/>
  <c r="BV69" i="1"/>
  <c r="BU69" i="1"/>
  <c r="BT69" i="1"/>
  <c r="BS69" i="1"/>
  <c r="BR69" i="1"/>
  <c r="BQ69" i="1"/>
  <c r="BP69" i="1"/>
  <c r="BO69" i="1"/>
  <c r="BN69" i="1"/>
  <c r="BM69" i="1"/>
  <c r="BL69" i="1"/>
  <c r="BK69" i="1"/>
  <c r="BJ69" i="1"/>
  <c r="BI69" i="1"/>
  <c r="BH69" i="1"/>
  <c r="BG69" i="1"/>
  <c r="BC69" i="1"/>
  <c r="BD69" i="1" s="1"/>
  <c r="CD68" i="1"/>
  <c r="CC68" i="1"/>
  <c r="CB68" i="1"/>
  <c r="CA68" i="1"/>
  <c r="BZ68" i="1"/>
  <c r="BY68" i="1"/>
  <c r="BX68" i="1"/>
  <c r="BW68" i="1"/>
  <c r="BV68" i="1"/>
  <c r="BU68" i="1"/>
  <c r="BT68" i="1"/>
  <c r="BS68" i="1"/>
  <c r="BR68" i="1"/>
  <c r="BQ68" i="1"/>
  <c r="BP68" i="1"/>
  <c r="BO68" i="1"/>
  <c r="BN68" i="1"/>
  <c r="BM68" i="1"/>
  <c r="BL68" i="1"/>
  <c r="BK68" i="1"/>
  <c r="BJ68" i="1"/>
  <c r="BI68" i="1"/>
  <c r="BH68" i="1"/>
  <c r="BG68" i="1"/>
  <c r="BC68" i="1"/>
  <c r="BD68" i="1" s="1"/>
  <c r="CD67" i="1"/>
  <c r="CC67" i="1"/>
  <c r="CB67" i="1"/>
  <c r="CA67" i="1"/>
  <c r="BZ67" i="1"/>
  <c r="BY67" i="1"/>
  <c r="BX67" i="1"/>
  <c r="BW67" i="1"/>
  <c r="BV67" i="1"/>
  <c r="BU67" i="1"/>
  <c r="BT67" i="1"/>
  <c r="BS67" i="1"/>
  <c r="BR67" i="1"/>
  <c r="BQ67" i="1"/>
  <c r="BP67" i="1"/>
  <c r="BO67" i="1"/>
  <c r="BN67" i="1"/>
  <c r="BM67" i="1"/>
  <c r="BL67" i="1"/>
  <c r="BK67" i="1"/>
  <c r="BJ67" i="1"/>
  <c r="BI67" i="1"/>
  <c r="BH67" i="1"/>
  <c r="BG67" i="1"/>
  <c r="BC67" i="1"/>
  <c r="BD67" i="1" s="1"/>
  <c r="CD66" i="1"/>
  <c r="CC66" i="1"/>
  <c r="CB66" i="1"/>
  <c r="CA66" i="1"/>
  <c r="BZ66" i="1"/>
  <c r="BY66" i="1"/>
  <c r="BX66" i="1"/>
  <c r="BW66" i="1"/>
  <c r="BV66" i="1"/>
  <c r="BU66" i="1"/>
  <c r="BT66" i="1"/>
  <c r="BS66" i="1"/>
  <c r="BR66" i="1"/>
  <c r="BQ66" i="1"/>
  <c r="BP66" i="1"/>
  <c r="BO66" i="1"/>
  <c r="BN66" i="1"/>
  <c r="BM66" i="1"/>
  <c r="BL66" i="1"/>
  <c r="BK66" i="1"/>
  <c r="BJ66" i="1"/>
  <c r="BI66" i="1"/>
  <c r="BH66" i="1"/>
  <c r="BG66" i="1"/>
  <c r="BC66" i="1"/>
  <c r="BD66" i="1" s="1"/>
  <c r="CD65" i="1"/>
  <c r="CC65" i="1"/>
  <c r="CB65" i="1"/>
  <c r="CA65" i="1"/>
  <c r="BZ65" i="1"/>
  <c r="BY65" i="1"/>
  <c r="BX65" i="1"/>
  <c r="BW65" i="1"/>
  <c r="BV65" i="1"/>
  <c r="BU65" i="1"/>
  <c r="BT65" i="1"/>
  <c r="BS65" i="1"/>
  <c r="BR65" i="1"/>
  <c r="BQ65" i="1"/>
  <c r="BP65" i="1"/>
  <c r="BO65" i="1"/>
  <c r="BN65" i="1"/>
  <c r="BM65" i="1"/>
  <c r="BL65" i="1"/>
  <c r="BK65" i="1"/>
  <c r="BJ65" i="1"/>
  <c r="BI65" i="1"/>
  <c r="BH65" i="1"/>
  <c r="BG65" i="1"/>
  <c r="BC65" i="1"/>
  <c r="BD65" i="1" s="1"/>
  <c r="CD64" i="1"/>
  <c r="CC64" i="1"/>
  <c r="CB64" i="1"/>
  <c r="CA64" i="1"/>
  <c r="BZ64" i="1"/>
  <c r="BY64" i="1"/>
  <c r="BX64" i="1"/>
  <c r="BW64" i="1"/>
  <c r="BV64" i="1"/>
  <c r="BU64" i="1"/>
  <c r="BT64" i="1"/>
  <c r="BS64" i="1"/>
  <c r="BR64" i="1"/>
  <c r="BQ64" i="1"/>
  <c r="BP64" i="1"/>
  <c r="BO64" i="1"/>
  <c r="BN64" i="1"/>
  <c r="BM64" i="1"/>
  <c r="BL64" i="1"/>
  <c r="BK64" i="1"/>
  <c r="BJ64" i="1"/>
  <c r="BI64" i="1"/>
  <c r="BH64" i="1"/>
  <c r="BG64" i="1"/>
  <c r="BC64" i="1"/>
  <c r="BD64" i="1" s="1"/>
  <c r="CD63" i="1"/>
  <c r="CC63" i="1"/>
  <c r="CB63" i="1"/>
  <c r="CA63" i="1"/>
  <c r="BZ63" i="1"/>
  <c r="BY63" i="1"/>
  <c r="BX63" i="1"/>
  <c r="BW63" i="1"/>
  <c r="BV63" i="1"/>
  <c r="BU63" i="1"/>
  <c r="BT63" i="1"/>
  <c r="BS63" i="1"/>
  <c r="BR63" i="1"/>
  <c r="BQ63" i="1"/>
  <c r="BP63" i="1"/>
  <c r="BO63" i="1"/>
  <c r="BN63" i="1"/>
  <c r="BM63" i="1"/>
  <c r="BL63" i="1"/>
  <c r="BK63" i="1"/>
  <c r="BJ63" i="1"/>
  <c r="BI63" i="1"/>
  <c r="BH63" i="1"/>
  <c r="BG63" i="1"/>
  <c r="BC63" i="1"/>
  <c r="BD63" i="1" s="1"/>
  <c r="CD62" i="1"/>
  <c r="CC62" i="1"/>
  <c r="CB62" i="1"/>
  <c r="CA62" i="1"/>
  <c r="BZ62" i="1"/>
  <c r="BY62" i="1"/>
  <c r="BX62" i="1"/>
  <c r="BW62" i="1"/>
  <c r="BV62" i="1"/>
  <c r="BU62" i="1"/>
  <c r="BT62" i="1"/>
  <c r="BS62" i="1"/>
  <c r="BR62" i="1"/>
  <c r="BQ62" i="1"/>
  <c r="BP62" i="1"/>
  <c r="BO62" i="1"/>
  <c r="BN62" i="1"/>
  <c r="BM62" i="1"/>
  <c r="BL62" i="1"/>
  <c r="BK62" i="1"/>
  <c r="BJ62" i="1"/>
  <c r="BI62" i="1"/>
  <c r="BH62" i="1"/>
  <c r="BG62" i="1"/>
  <c r="BC62" i="1"/>
  <c r="BD62" i="1" s="1"/>
  <c r="CD61" i="1"/>
  <c r="CC61" i="1"/>
  <c r="CB61" i="1"/>
  <c r="CA61" i="1"/>
  <c r="BZ61" i="1"/>
  <c r="BY61" i="1"/>
  <c r="BX61" i="1"/>
  <c r="BW61" i="1"/>
  <c r="BV61" i="1"/>
  <c r="BU61" i="1"/>
  <c r="BT61" i="1"/>
  <c r="BS61" i="1"/>
  <c r="BR61" i="1"/>
  <c r="BQ61" i="1"/>
  <c r="BP61" i="1"/>
  <c r="BO61" i="1"/>
  <c r="BN61" i="1"/>
  <c r="BM61" i="1"/>
  <c r="BL61" i="1"/>
  <c r="BK61" i="1"/>
  <c r="BJ61" i="1"/>
  <c r="BI61" i="1"/>
  <c r="BH61" i="1"/>
  <c r="BG61" i="1"/>
  <c r="BC61" i="1"/>
  <c r="BD61" i="1" s="1"/>
  <c r="CD60" i="1"/>
  <c r="CC60" i="1"/>
  <c r="CB60" i="1"/>
  <c r="CA60" i="1"/>
  <c r="BZ60" i="1"/>
  <c r="BY60" i="1"/>
  <c r="BX60" i="1"/>
  <c r="BW60" i="1"/>
  <c r="BV60" i="1"/>
  <c r="BU60" i="1"/>
  <c r="BT60" i="1"/>
  <c r="BS60" i="1"/>
  <c r="BR60" i="1"/>
  <c r="BQ60" i="1"/>
  <c r="BP60" i="1"/>
  <c r="BO60" i="1"/>
  <c r="BN60" i="1"/>
  <c r="BM60" i="1"/>
  <c r="BL60" i="1"/>
  <c r="BK60" i="1"/>
  <c r="BJ60" i="1"/>
  <c r="BI60" i="1"/>
  <c r="BH60" i="1"/>
  <c r="BG60" i="1"/>
  <c r="BC60" i="1"/>
  <c r="BD60" i="1" s="1"/>
  <c r="CD59" i="1"/>
  <c r="CC59" i="1"/>
  <c r="CB59" i="1"/>
  <c r="CA59" i="1"/>
  <c r="BZ59" i="1"/>
  <c r="BY59" i="1"/>
  <c r="BX59" i="1"/>
  <c r="BW59" i="1"/>
  <c r="BV59" i="1"/>
  <c r="BU59" i="1"/>
  <c r="BT59" i="1"/>
  <c r="BS59" i="1"/>
  <c r="BR59" i="1"/>
  <c r="BQ59" i="1"/>
  <c r="BP59" i="1"/>
  <c r="BO59" i="1"/>
  <c r="BN59" i="1"/>
  <c r="BM59" i="1"/>
  <c r="BL59" i="1"/>
  <c r="BK59" i="1"/>
  <c r="BJ59" i="1"/>
  <c r="BI59" i="1"/>
  <c r="BH59" i="1"/>
  <c r="BG59" i="1"/>
  <c r="BC59" i="1"/>
  <c r="BD59" i="1" s="1"/>
  <c r="CD58" i="1"/>
  <c r="CC58" i="1"/>
  <c r="CB58" i="1"/>
  <c r="CA58" i="1"/>
  <c r="BZ58" i="1"/>
  <c r="BY58" i="1"/>
  <c r="BX58" i="1"/>
  <c r="BW58" i="1"/>
  <c r="BV58" i="1"/>
  <c r="BU58" i="1"/>
  <c r="BT58" i="1"/>
  <c r="BS58" i="1"/>
  <c r="BR58" i="1"/>
  <c r="BQ58" i="1"/>
  <c r="BP58" i="1"/>
  <c r="BO58" i="1"/>
  <c r="BN58" i="1"/>
  <c r="BM58" i="1"/>
  <c r="BL58" i="1"/>
  <c r="BK58" i="1"/>
  <c r="BJ58" i="1"/>
  <c r="BI58" i="1"/>
  <c r="BH58" i="1"/>
  <c r="BG58" i="1"/>
  <c r="BC58" i="1"/>
  <c r="BD58" i="1" s="1"/>
  <c r="CD57" i="1"/>
  <c r="CC57" i="1"/>
  <c r="CB57" i="1"/>
  <c r="CA57" i="1"/>
  <c r="BZ57" i="1"/>
  <c r="BY57" i="1"/>
  <c r="BX57" i="1"/>
  <c r="BW57" i="1"/>
  <c r="BV57" i="1"/>
  <c r="BU57" i="1"/>
  <c r="BT57" i="1"/>
  <c r="BS57" i="1"/>
  <c r="BR57" i="1"/>
  <c r="BQ57" i="1"/>
  <c r="BP57" i="1"/>
  <c r="BO57" i="1"/>
  <c r="BN57" i="1"/>
  <c r="BM57" i="1"/>
  <c r="BL57" i="1"/>
  <c r="BK57" i="1"/>
  <c r="BJ57" i="1"/>
  <c r="BI57" i="1"/>
  <c r="BH57" i="1"/>
  <c r="BG57" i="1"/>
  <c r="BC57" i="1"/>
  <c r="BD57" i="1" s="1"/>
  <c r="CD56" i="1"/>
  <c r="CC56" i="1"/>
  <c r="CB56" i="1"/>
  <c r="CA56" i="1"/>
  <c r="BZ56" i="1"/>
  <c r="BY56" i="1"/>
  <c r="BX56" i="1"/>
  <c r="BW56" i="1"/>
  <c r="BV56" i="1"/>
  <c r="BU56" i="1"/>
  <c r="BT56" i="1"/>
  <c r="BS56" i="1"/>
  <c r="BR56" i="1"/>
  <c r="BQ56" i="1"/>
  <c r="BP56" i="1"/>
  <c r="BO56" i="1"/>
  <c r="BN56" i="1"/>
  <c r="BM56" i="1"/>
  <c r="BL56" i="1"/>
  <c r="BK56" i="1"/>
  <c r="BJ56" i="1"/>
  <c r="BI56" i="1"/>
  <c r="BH56" i="1"/>
  <c r="BG56" i="1"/>
  <c r="BC56" i="1"/>
  <c r="BD56" i="1" s="1"/>
  <c r="CD55" i="1"/>
  <c r="CC55" i="1"/>
  <c r="CB55" i="1"/>
  <c r="CA55" i="1"/>
  <c r="BZ55" i="1"/>
  <c r="BY55" i="1"/>
  <c r="BX55" i="1"/>
  <c r="BW55" i="1"/>
  <c r="BV55" i="1"/>
  <c r="BU55" i="1"/>
  <c r="BT55" i="1"/>
  <c r="BS55" i="1"/>
  <c r="BR55" i="1"/>
  <c r="BQ55" i="1"/>
  <c r="BP55" i="1"/>
  <c r="BO55" i="1"/>
  <c r="BN55" i="1"/>
  <c r="BM55" i="1"/>
  <c r="BL55" i="1"/>
  <c r="BK55" i="1"/>
  <c r="BJ55" i="1"/>
  <c r="BI55" i="1"/>
  <c r="BH55" i="1"/>
  <c r="BG55" i="1"/>
  <c r="BC55" i="1"/>
  <c r="BD55" i="1" s="1"/>
  <c r="CD54" i="1"/>
  <c r="CC54" i="1"/>
  <c r="CB54" i="1"/>
  <c r="CA54" i="1"/>
  <c r="BZ54" i="1"/>
  <c r="BY54" i="1"/>
  <c r="BX54" i="1"/>
  <c r="BW54" i="1"/>
  <c r="BV54" i="1"/>
  <c r="BU54" i="1"/>
  <c r="BT54" i="1"/>
  <c r="BS54" i="1"/>
  <c r="BR54" i="1"/>
  <c r="BQ54" i="1"/>
  <c r="BP54" i="1"/>
  <c r="BO54" i="1"/>
  <c r="BN54" i="1"/>
  <c r="BM54" i="1"/>
  <c r="BL54" i="1"/>
  <c r="BK54" i="1"/>
  <c r="BJ54" i="1"/>
  <c r="BI54" i="1"/>
  <c r="BH54" i="1"/>
  <c r="BG54" i="1"/>
  <c r="BC54" i="1"/>
  <c r="BD54" i="1" s="1"/>
  <c r="CD53" i="1"/>
  <c r="CC53" i="1"/>
  <c r="CB53" i="1"/>
  <c r="CA53" i="1"/>
  <c r="BZ53" i="1"/>
  <c r="BY53" i="1"/>
  <c r="BX53" i="1"/>
  <c r="BW53" i="1"/>
  <c r="BV53" i="1"/>
  <c r="BU53" i="1"/>
  <c r="BT53" i="1"/>
  <c r="BS53" i="1"/>
  <c r="BR53" i="1"/>
  <c r="BQ53" i="1"/>
  <c r="BP53" i="1"/>
  <c r="BO53" i="1"/>
  <c r="BN53" i="1"/>
  <c r="BM53" i="1"/>
  <c r="BL53" i="1"/>
  <c r="BK53" i="1"/>
  <c r="BJ53" i="1"/>
  <c r="BI53" i="1"/>
  <c r="BH53" i="1"/>
  <c r="BG53" i="1"/>
  <c r="BC53" i="1"/>
  <c r="BD53" i="1" s="1"/>
  <c r="CD52" i="1"/>
  <c r="CC52" i="1"/>
  <c r="CB52" i="1"/>
  <c r="CA52" i="1"/>
  <c r="BZ52" i="1"/>
  <c r="BY52" i="1"/>
  <c r="BX52" i="1"/>
  <c r="BW52" i="1"/>
  <c r="BV52" i="1"/>
  <c r="BU52" i="1"/>
  <c r="BT52" i="1"/>
  <c r="BS52" i="1"/>
  <c r="BR52" i="1"/>
  <c r="BQ52" i="1"/>
  <c r="BP52" i="1"/>
  <c r="BO52" i="1"/>
  <c r="BN52" i="1"/>
  <c r="BM52" i="1"/>
  <c r="BL52" i="1"/>
  <c r="BK52" i="1"/>
  <c r="BJ52" i="1"/>
  <c r="BI52" i="1"/>
  <c r="BH52" i="1"/>
  <c r="BG52" i="1"/>
  <c r="BC52" i="1"/>
  <c r="BD52" i="1" s="1"/>
  <c r="CD51" i="1"/>
  <c r="CC51" i="1"/>
  <c r="CB51" i="1"/>
  <c r="CA51" i="1"/>
  <c r="BZ51" i="1"/>
  <c r="BY51" i="1"/>
  <c r="BX51" i="1"/>
  <c r="BW51" i="1"/>
  <c r="BV51" i="1"/>
  <c r="BU51" i="1"/>
  <c r="BT51" i="1"/>
  <c r="BS51" i="1"/>
  <c r="BR51" i="1"/>
  <c r="BQ51" i="1"/>
  <c r="BP51" i="1"/>
  <c r="BO51" i="1"/>
  <c r="BN51" i="1"/>
  <c r="BM51" i="1"/>
  <c r="BL51" i="1"/>
  <c r="BK51" i="1"/>
  <c r="BJ51" i="1"/>
  <c r="BI51" i="1"/>
  <c r="BH51" i="1"/>
  <c r="BG51" i="1"/>
  <c r="BC51" i="1"/>
  <c r="BD51" i="1" s="1"/>
  <c r="CD50" i="1"/>
  <c r="CC50" i="1"/>
  <c r="CB50" i="1"/>
  <c r="CA50" i="1"/>
  <c r="BZ50" i="1"/>
  <c r="BY50" i="1"/>
  <c r="BX50" i="1"/>
  <c r="BW50" i="1"/>
  <c r="BV50" i="1"/>
  <c r="BU50" i="1"/>
  <c r="BT50" i="1"/>
  <c r="BS50" i="1"/>
  <c r="BR50" i="1"/>
  <c r="BQ50" i="1"/>
  <c r="BP50" i="1"/>
  <c r="BO50" i="1"/>
  <c r="BN50" i="1"/>
  <c r="BM50" i="1"/>
  <c r="BL50" i="1"/>
  <c r="BK50" i="1"/>
  <c r="BJ50" i="1"/>
  <c r="BI50" i="1"/>
  <c r="BH50" i="1"/>
  <c r="BG50" i="1"/>
  <c r="BC50" i="1"/>
  <c r="BD50" i="1" s="1"/>
  <c r="CD49" i="1"/>
  <c r="CC49" i="1"/>
  <c r="CB49" i="1"/>
  <c r="CA49" i="1"/>
  <c r="BZ49" i="1"/>
  <c r="BY49" i="1"/>
  <c r="BX49" i="1"/>
  <c r="BW49" i="1"/>
  <c r="BV49" i="1"/>
  <c r="BU49" i="1"/>
  <c r="BT49" i="1"/>
  <c r="BS49" i="1"/>
  <c r="BR49" i="1"/>
  <c r="BQ49" i="1"/>
  <c r="BP49" i="1"/>
  <c r="BO49" i="1"/>
  <c r="BN49" i="1"/>
  <c r="BM49" i="1"/>
  <c r="BL49" i="1"/>
  <c r="BK49" i="1"/>
  <c r="BJ49" i="1"/>
  <c r="BI49" i="1"/>
  <c r="BH49" i="1"/>
  <c r="BG49" i="1"/>
  <c r="BC49" i="1"/>
  <c r="BD49" i="1" s="1"/>
  <c r="CD48" i="1"/>
  <c r="CC48" i="1"/>
  <c r="CB48" i="1"/>
  <c r="CA48" i="1"/>
  <c r="BZ48" i="1"/>
  <c r="BY48" i="1"/>
  <c r="BX48" i="1"/>
  <c r="BW48" i="1"/>
  <c r="BV48" i="1"/>
  <c r="BU48" i="1"/>
  <c r="BT48" i="1"/>
  <c r="BS48" i="1"/>
  <c r="BR48" i="1"/>
  <c r="BQ48" i="1"/>
  <c r="BP48" i="1"/>
  <c r="BO48" i="1"/>
  <c r="BN48" i="1"/>
  <c r="BM48" i="1"/>
  <c r="BL48" i="1"/>
  <c r="BK48" i="1"/>
  <c r="BJ48" i="1"/>
  <c r="BI48" i="1"/>
  <c r="BH48" i="1"/>
  <c r="BG48" i="1"/>
  <c r="BC48" i="1"/>
  <c r="BD48" i="1" s="1"/>
  <c r="CD47" i="1"/>
  <c r="CC47" i="1"/>
  <c r="CB47" i="1"/>
  <c r="CA47" i="1"/>
  <c r="BZ47" i="1"/>
  <c r="BY47" i="1"/>
  <c r="BX47" i="1"/>
  <c r="BW47" i="1"/>
  <c r="BV47" i="1"/>
  <c r="BU47" i="1"/>
  <c r="BT47" i="1"/>
  <c r="BS47" i="1"/>
  <c r="BR47" i="1"/>
  <c r="BQ47" i="1"/>
  <c r="BP47" i="1"/>
  <c r="BO47" i="1"/>
  <c r="BN47" i="1"/>
  <c r="BM47" i="1"/>
  <c r="BL47" i="1"/>
  <c r="BK47" i="1"/>
  <c r="BJ47" i="1"/>
  <c r="BI47" i="1"/>
  <c r="BH47" i="1"/>
  <c r="BG47" i="1"/>
  <c r="BC47" i="1"/>
  <c r="BD47" i="1" s="1"/>
  <c r="CD46" i="1"/>
  <c r="CC46" i="1"/>
  <c r="CB46" i="1"/>
  <c r="CA46" i="1"/>
  <c r="BZ46" i="1"/>
  <c r="BY46" i="1"/>
  <c r="BX46" i="1"/>
  <c r="BW46" i="1"/>
  <c r="BV46" i="1"/>
  <c r="BU46" i="1"/>
  <c r="BT46" i="1"/>
  <c r="BS46" i="1"/>
  <c r="BR46" i="1"/>
  <c r="BQ46" i="1"/>
  <c r="BP46" i="1"/>
  <c r="BO46" i="1"/>
  <c r="BN46" i="1"/>
  <c r="BM46" i="1"/>
  <c r="BL46" i="1"/>
  <c r="BK46" i="1"/>
  <c r="BJ46" i="1"/>
  <c r="BI46" i="1"/>
  <c r="BH46" i="1"/>
  <c r="BG46" i="1"/>
  <c r="BC46" i="1"/>
  <c r="BD46" i="1" s="1"/>
  <c r="CD45" i="1"/>
  <c r="CC45" i="1"/>
  <c r="CB45" i="1"/>
  <c r="CA45" i="1"/>
  <c r="BZ45" i="1"/>
  <c r="BY45" i="1"/>
  <c r="BX45" i="1"/>
  <c r="BW45" i="1"/>
  <c r="BV45" i="1"/>
  <c r="BU45" i="1"/>
  <c r="BT45" i="1"/>
  <c r="BS45" i="1"/>
  <c r="BR45" i="1"/>
  <c r="BQ45" i="1"/>
  <c r="BP45" i="1"/>
  <c r="BO45" i="1"/>
  <c r="BN45" i="1"/>
  <c r="BM45" i="1"/>
  <c r="BL45" i="1"/>
  <c r="BK45" i="1"/>
  <c r="BJ45" i="1"/>
  <c r="BI45" i="1"/>
  <c r="BH45" i="1"/>
  <c r="BG45" i="1"/>
  <c r="BC45" i="1"/>
  <c r="BD45" i="1" s="1"/>
  <c r="CD44" i="1"/>
  <c r="CC44" i="1"/>
  <c r="CB44" i="1"/>
  <c r="CA44" i="1"/>
  <c r="BZ44" i="1"/>
  <c r="BY44" i="1"/>
  <c r="BX44" i="1"/>
  <c r="BW44" i="1"/>
  <c r="BV44" i="1"/>
  <c r="BU44" i="1"/>
  <c r="BT44" i="1"/>
  <c r="BS44" i="1"/>
  <c r="BR44" i="1"/>
  <c r="BQ44" i="1"/>
  <c r="BP44" i="1"/>
  <c r="BO44" i="1"/>
  <c r="BN44" i="1"/>
  <c r="BM44" i="1"/>
  <c r="BL44" i="1"/>
  <c r="BK44" i="1"/>
  <c r="BJ44" i="1"/>
  <c r="BI44" i="1"/>
  <c r="BH44" i="1"/>
  <c r="BG44" i="1"/>
  <c r="BC44" i="1"/>
  <c r="BD44" i="1" s="1"/>
  <c r="CD43" i="1"/>
  <c r="CC43" i="1"/>
  <c r="CB43" i="1"/>
  <c r="CA43" i="1"/>
  <c r="BZ43" i="1"/>
  <c r="BY43" i="1"/>
  <c r="BX43" i="1"/>
  <c r="BW43" i="1"/>
  <c r="BV43" i="1"/>
  <c r="BU43" i="1"/>
  <c r="BT43" i="1"/>
  <c r="BS43" i="1"/>
  <c r="BR43" i="1"/>
  <c r="BQ43" i="1"/>
  <c r="BP43" i="1"/>
  <c r="BO43" i="1"/>
  <c r="BN43" i="1"/>
  <c r="BM43" i="1"/>
  <c r="BL43" i="1"/>
  <c r="BK43" i="1"/>
  <c r="BJ43" i="1"/>
  <c r="BI43" i="1"/>
  <c r="BH43" i="1"/>
  <c r="BG43" i="1"/>
  <c r="BC43" i="1"/>
  <c r="BD43" i="1" s="1"/>
  <c r="CD42" i="1"/>
  <c r="CC42" i="1"/>
  <c r="CB42" i="1"/>
  <c r="CA42" i="1"/>
  <c r="BZ42" i="1"/>
  <c r="BY42" i="1"/>
  <c r="BX42" i="1"/>
  <c r="BW42" i="1"/>
  <c r="BV42" i="1"/>
  <c r="BU42" i="1"/>
  <c r="BT42" i="1"/>
  <c r="BS42" i="1"/>
  <c r="BR42" i="1"/>
  <c r="BQ42" i="1"/>
  <c r="BP42" i="1"/>
  <c r="BO42" i="1"/>
  <c r="BN42" i="1"/>
  <c r="BM42" i="1"/>
  <c r="BL42" i="1"/>
  <c r="BK42" i="1"/>
  <c r="BJ42" i="1"/>
  <c r="BI42" i="1"/>
  <c r="BH42" i="1"/>
  <c r="BG42" i="1"/>
  <c r="BC42" i="1"/>
  <c r="BD42" i="1" s="1"/>
  <c r="CD41" i="1"/>
  <c r="CC41" i="1"/>
  <c r="CB41" i="1"/>
  <c r="CA41" i="1"/>
  <c r="BZ41" i="1"/>
  <c r="BY41" i="1"/>
  <c r="BX41" i="1"/>
  <c r="BW41" i="1"/>
  <c r="BV41" i="1"/>
  <c r="BU41" i="1"/>
  <c r="BT41" i="1"/>
  <c r="BS41" i="1"/>
  <c r="BR41" i="1"/>
  <c r="BQ41" i="1"/>
  <c r="BP41" i="1"/>
  <c r="BO41" i="1"/>
  <c r="BN41" i="1"/>
  <c r="BM41" i="1"/>
  <c r="BL41" i="1"/>
  <c r="BK41" i="1"/>
  <c r="BJ41" i="1"/>
  <c r="BI41" i="1"/>
  <c r="BH41" i="1"/>
  <c r="BG41" i="1"/>
  <c r="BC41" i="1"/>
  <c r="BD41" i="1" s="1"/>
  <c r="CD40" i="1"/>
  <c r="CC40" i="1"/>
  <c r="CB40" i="1"/>
  <c r="CA40" i="1"/>
  <c r="BZ40" i="1"/>
  <c r="BY40" i="1"/>
  <c r="BX40" i="1"/>
  <c r="BW40" i="1"/>
  <c r="BV40" i="1"/>
  <c r="BU40" i="1"/>
  <c r="BT40" i="1"/>
  <c r="BS40" i="1"/>
  <c r="BR40" i="1"/>
  <c r="BQ40" i="1"/>
  <c r="BP40" i="1"/>
  <c r="BO40" i="1"/>
  <c r="BN40" i="1"/>
  <c r="BM40" i="1"/>
  <c r="BL40" i="1"/>
  <c r="BK40" i="1"/>
  <c r="BJ40" i="1"/>
  <c r="BI40" i="1"/>
  <c r="BH40" i="1"/>
  <c r="BG40" i="1"/>
  <c r="BC40" i="1"/>
  <c r="BD40" i="1" s="1"/>
  <c r="CD39" i="1"/>
  <c r="CC39" i="1"/>
  <c r="CB39" i="1"/>
  <c r="CA39" i="1"/>
  <c r="BZ39" i="1"/>
  <c r="BY39" i="1"/>
  <c r="BX39" i="1"/>
  <c r="BW39" i="1"/>
  <c r="BV39" i="1"/>
  <c r="BU39" i="1"/>
  <c r="BT39" i="1"/>
  <c r="BS39" i="1"/>
  <c r="BR39" i="1"/>
  <c r="BQ39" i="1"/>
  <c r="BP39" i="1"/>
  <c r="BO39" i="1"/>
  <c r="BN39" i="1"/>
  <c r="BM39" i="1"/>
  <c r="BL39" i="1"/>
  <c r="BK39" i="1"/>
  <c r="BJ39" i="1"/>
  <c r="BI39" i="1"/>
  <c r="BH39" i="1"/>
  <c r="BG39" i="1"/>
  <c r="BC39" i="1"/>
  <c r="BD39" i="1" s="1"/>
  <c r="CD38" i="1"/>
  <c r="CC38" i="1"/>
  <c r="CB38" i="1"/>
  <c r="CA38" i="1"/>
  <c r="BZ38" i="1"/>
  <c r="BY38" i="1"/>
  <c r="BX38" i="1"/>
  <c r="BW38" i="1"/>
  <c r="BV38" i="1"/>
  <c r="BU38" i="1"/>
  <c r="BT38" i="1"/>
  <c r="BS38" i="1"/>
  <c r="BR38" i="1"/>
  <c r="BQ38" i="1"/>
  <c r="BP38" i="1"/>
  <c r="BO38" i="1"/>
  <c r="BN38" i="1"/>
  <c r="BM38" i="1"/>
  <c r="BL38" i="1"/>
  <c r="BK38" i="1"/>
  <c r="BJ38" i="1"/>
  <c r="BI38" i="1"/>
  <c r="BH38" i="1"/>
  <c r="BG38" i="1"/>
  <c r="BC38" i="1"/>
  <c r="BD38" i="1" s="1"/>
  <c r="CD37" i="1"/>
  <c r="CC37" i="1"/>
  <c r="CB37" i="1"/>
  <c r="CA37" i="1"/>
  <c r="BZ37" i="1"/>
  <c r="BY37" i="1"/>
  <c r="BX37" i="1"/>
  <c r="BW37" i="1"/>
  <c r="BV37" i="1"/>
  <c r="BU37" i="1"/>
  <c r="BT37" i="1"/>
  <c r="BS37" i="1"/>
  <c r="BR37" i="1"/>
  <c r="BQ37" i="1"/>
  <c r="BP37" i="1"/>
  <c r="BO37" i="1"/>
  <c r="BN37" i="1"/>
  <c r="BM37" i="1"/>
  <c r="BL37" i="1"/>
  <c r="BK37" i="1"/>
  <c r="BJ37" i="1"/>
  <c r="BI37" i="1"/>
  <c r="BH37" i="1"/>
  <c r="BG37" i="1"/>
  <c r="BC37" i="1"/>
  <c r="BD37" i="1" s="1"/>
  <c r="CD36" i="1"/>
  <c r="CC36" i="1"/>
  <c r="CB36" i="1"/>
  <c r="CA36" i="1"/>
  <c r="BZ36" i="1"/>
  <c r="BY36" i="1"/>
  <c r="BX36" i="1"/>
  <c r="BW36" i="1"/>
  <c r="BV36" i="1"/>
  <c r="BU36" i="1"/>
  <c r="BT36" i="1"/>
  <c r="BS36" i="1"/>
  <c r="BR36" i="1"/>
  <c r="BQ36" i="1"/>
  <c r="BP36" i="1"/>
  <c r="BO36" i="1"/>
  <c r="BN36" i="1"/>
  <c r="BM36" i="1"/>
  <c r="BL36" i="1"/>
  <c r="BK36" i="1"/>
  <c r="BJ36" i="1"/>
  <c r="BI36" i="1"/>
  <c r="BH36" i="1"/>
  <c r="BG36" i="1"/>
  <c r="BC36" i="1"/>
  <c r="BD36" i="1" s="1"/>
  <c r="CD35" i="1"/>
  <c r="CC35" i="1"/>
  <c r="CB35" i="1"/>
  <c r="CA35" i="1"/>
  <c r="BZ35" i="1"/>
  <c r="BY35" i="1"/>
  <c r="BX35" i="1"/>
  <c r="BW35" i="1"/>
  <c r="BV35" i="1"/>
  <c r="BU35" i="1"/>
  <c r="BT35" i="1"/>
  <c r="BS35" i="1"/>
  <c r="BR35" i="1"/>
  <c r="BQ35" i="1"/>
  <c r="BP35" i="1"/>
  <c r="BO35" i="1"/>
  <c r="BN35" i="1"/>
  <c r="BM35" i="1"/>
  <c r="BL35" i="1"/>
  <c r="BK35" i="1"/>
  <c r="BJ35" i="1"/>
  <c r="BI35" i="1"/>
  <c r="BH35" i="1"/>
  <c r="BG35" i="1"/>
  <c r="BC35" i="1"/>
  <c r="BD35" i="1" s="1"/>
  <c r="CD34" i="1"/>
  <c r="CC34" i="1"/>
  <c r="CB34" i="1"/>
  <c r="CA34" i="1"/>
  <c r="BZ34" i="1"/>
  <c r="BY34" i="1"/>
  <c r="BX34" i="1"/>
  <c r="BW34" i="1"/>
  <c r="BV34" i="1"/>
  <c r="BU34" i="1"/>
  <c r="BT34" i="1"/>
  <c r="BS34" i="1"/>
  <c r="BR34" i="1"/>
  <c r="BQ34" i="1"/>
  <c r="BP34" i="1"/>
  <c r="BO34" i="1"/>
  <c r="BN34" i="1"/>
  <c r="BM34" i="1"/>
  <c r="BL34" i="1"/>
  <c r="BK34" i="1"/>
  <c r="BJ34" i="1"/>
  <c r="BI34" i="1"/>
  <c r="BH34" i="1"/>
  <c r="BG34" i="1"/>
  <c r="BC34" i="1"/>
  <c r="BD34" i="1" s="1"/>
  <c r="CD33" i="1"/>
  <c r="CC33" i="1"/>
  <c r="CB33" i="1"/>
  <c r="CA33" i="1"/>
  <c r="BZ33" i="1"/>
  <c r="BY33" i="1"/>
  <c r="BX33" i="1"/>
  <c r="BW33" i="1"/>
  <c r="BV33" i="1"/>
  <c r="BU33" i="1"/>
  <c r="BT33" i="1"/>
  <c r="BS33" i="1"/>
  <c r="BR33" i="1"/>
  <c r="BQ33" i="1"/>
  <c r="BP33" i="1"/>
  <c r="BO33" i="1"/>
  <c r="BN33" i="1"/>
  <c r="BM33" i="1"/>
  <c r="BL33" i="1"/>
  <c r="BK33" i="1"/>
  <c r="BJ33" i="1"/>
  <c r="BI33" i="1"/>
  <c r="BH33" i="1"/>
  <c r="BG33" i="1"/>
  <c r="BC33" i="1"/>
  <c r="BD33" i="1" s="1"/>
  <c r="CD32" i="1"/>
  <c r="CC32" i="1"/>
  <c r="CB32" i="1"/>
  <c r="CA32" i="1"/>
  <c r="BZ32" i="1"/>
  <c r="BY32" i="1"/>
  <c r="BX32" i="1"/>
  <c r="BW32" i="1"/>
  <c r="BV32" i="1"/>
  <c r="BU32" i="1"/>
  <c r="BT32" i="1"/>
  <c r="BS32" i="1"/>
  <c r="BR32" i="1"/>
  <c r="BQ32" i="1"/>
  <c r="BP32" i="1"/>
  <c r="BO32" i="1"/>
  <c r="BN32" i="1"/>
  <c r="BM32" i="1"/>
  <c r="BL32" i="1"/>
  <c r="BK32" i="1"/>
  <c r="BJ32" i="1"/>
  <c r="BI32" i="1"/>
  <c r="BH32" i="1"/>
  <c r="BG32" i="1"/>
  <c r="BC32" i="1"/>
  <c r="BD32" i="1" s="1"/>
  <c r="CD31" i="1"/>
  <c r="CC31" i="1"/>
  <c r="CB31" i="1"/>
  <c r="CA31" i="1"/>
  <c r="BZ31" i="1"/>
  <c r="BY31" i="1"/>
  <c r="BX31" i="1"/>
  <c r="BW31" i="1"/>
  <c r="BV31" i="1"/>
  <c r="BU31" i="1"/>
  <c r="BT31" i="1"/>
  <c r="BS31" i="1"/>
  <c r="BR31" i="1"/>
  <c r="BQ31" i="1"/>
  <c r="BP31" i="1"/>
  <c r="BO31" i="1"/>
  <c r="BN31" i="1"/>
  <c r="BM31" i="1"/>
  <c r="BL31" i="1"/>
  <c r="BK31" i="1"/>
  <c r="BJ31" i="1"/>
  <c r="BI31" i="1"/>
  <c r="BH31" i="1"/>
  <c r="BG31" i="1"/>
  <c r="BC31" i="1"/>
  <c r="BD31" i="1" s="1"/>
  <c r="CD30" i="1"/>
  <c r="CC30" i="1"/>
  <c r="CB30" i="1"/>
  <c r="CA30" i="1"/>
  <c r="BZ30" i="1"/>
  <c r="BY30" i="1"/>
  <c r="BX30" i="1"/>
  <c r="BW30" i="1"/>
  <c r="BV30" i="1"/>
  <c r="BU30" i="1"/>
  <c r="BT30" i="1"/>
  <c r="BS30" i="1"/>
  <c r="BR30" i="1"/>
  <c r="BQ30" i="1"/>
  <c r="BP30" i="1"/>
  <c r="BO30" i="1"/>
  <c r="BN30" i="1"/>
  <c r="BM30" i="1"/>
  <c r="BL30" i="1"/>
  <c r="BK30" i="1"/>
  <c r="BJ30" i="1"/>
  <c r="BI30" i="1"/>
  <c r="BH30" i="1"/>
  <c r="BG30" i="1"/>
  <c r="BC30" i="1"/>
  <c r="BD30" i="1" s="1"/>
  <c r="CD29" i="1"/>
  <c r="CC29" i="1"/>
  <c r="CB29" i="1"/>
  <c r="CA29" i="1"/>
  <c r="BZ29" i="1"/>
  <c r="BY29" i="1"/>
  <c r="BX29" i="1"/>
  <c r="BW29" i="1"/>
  <c r="BV29" i="1"/>
  <c r="BU29" i="1"/>
  <c r="BT29" i="1"/>
  <c r="BS29" i="1"/>
  <c r="BR29" i="1"/>
  <c r="BQ29" i="1"/>
  <c r="BP29" i="1"/>
  <c r="BO29" i="1"/>
  <c r="BN29" i="1"/>
  <c r="BM29" i="1"/>
  <c r="BL29" i="1"/>
  <c r="BK29" i="1"/>
  <c r="BJ29" i="1"/>
  <c r="BI29" i="1"/>
  <c r="BH29" i="1"/>
  <c r="BG29" i="1"/>
  <c r="BC29" i="1"/>
  <c r="BD29" i="1" s="1"/>
  <c r="CD28" i="1"/>
  <c r="CC28" i="1"/>
  <c r="CB28" i="1"/>
  <c r="CA28" i="1"/>
  <c r="BZ28" i="1"/>
  <c r="BY28" i="1"/>
  <c r="BX28" i="1"/>
  <c r="BW28" i="1"/>
  <c r="BV28" i="1"/>
  <c r="BU28" i="1"/>
  <c r="BT28" i="1"/>
  <c r="BS28" i="1"/>
  <c r="BR28" i="1"/>
  <c r="BQ28" i="1"/>
  <c r="BP28" i="1"/>
  <c r="BO28" i="1"/>
  <c r="BN28" i="1"/>
  <c r="BM28" i="1"/>
  <c r="BL28" i="1"/>
  <c r="BK28" i="1"/>
  <c r="BJ28" i="1"/>
  <c r="BI28" i="1"/>
  <c r="BH28" i="1"/>
  <c r="BG28" i="1"/>
  <c r="BC28" i="1"/>
  <c r="BD28" i="1" s="1"/>
  <c r="CD27" i="1"/>
  <c r="CC27" i="1"/>
  <c r="CB27" i="1"/>
  <c r="CA27" i="1"/>
  <c r="BZ27" i="1"/>
  <c r="BY27" i="1"/>
  <c r="BX27" i="1"/>
  <c r="BW27" i="1"/>
  <c r="BV27" i="1"/>
  <c r="BU27" i="1"/>
  <c r="BT27" i="1"/>
  <c r="BS27" i="1"/>
  <c r="BR27" i="1"/>
  <c r="BQ27" i="1"/>
  <c r="BP27" i="1"/>
  <c r="BO27" i="1"/>
  <c r="BN27" i="1"/>
  <c r="BM27" i="1"/>
  <c r="BL27" i="1"/>
  <c r="BK27" i="1"/>
  <c r="BJ27" i="1"/>
  <c r="BI27" i="1"/>
  <c r="BH27" i="1"/>
  <c r="BG27" i="1"/>
  <c r="BC27" i="1"/>
  <c r="BD27" i="1" s="1"/>
  <c r="CD26" i="1"/>
  <c r="CC26" i="1"/>
  <c r="CB26" i="1"/>
  <c r="CA26" i="1"/>
  <c r="BZ26" i="1"/>
  <c r="BY26" i="1"/>
  <c r="BX26" i="1"/>
  <c r="BW26" i="1"/>
  <c r="BV26" i="1"/>
  <c r="BU26" i="1"/>
  <c r="BT26" i="1"/>
  <c r="BS26" i="1"/>
  <c r="BR26" i="1"/>
  <c r="BQ26" i="1"/>
  <c r="BP26" i="1"/>
  <c r="BO26" i="1"/>
  <c r="BN26" i="1"/>
  <c r="BM26" i="1"/>
  <c r="BL26" i="1"/>
  <c r="BK26" i="1"/>
  <c r="BJ26" i="1"/>
  <c r="BI26" i="1"/>
  <c r="BH26" i="1"/>
  <c r="BG26" i="1"/>
  <c r="BC26" i="1"/>
  <c r="BD26" i="1" s="1"/>
  <c r="CD25" i="1"/>
  <c r="CC25" i="1"/>
  <c r="CB25" i="1"/>
  <c r="CA25" i="1"/>
  <c r="BZ25" i="1"/>
  <c r="BY25" i="1"/>
  <c r="BX25" i="1"/>
  <c r="BW25" i="1"/>
  <c r="BV25" i="1"/>
  <c r="BU25" i="1"/>
  <c r="BT25" i="1"/>
  <c r="BS25" i="1"/>
  <c r="BR25" i="1"/>
  <c r="BQ25" i="1"/>
  <c r="BP25" i="1"/>
  <c r="BO25" i="1"/>
  <c r="BN25" i="1"/>
  <c r="BM25" i="1"/>
  <c r="BL25" i="1"/>
  <c r="BK25" i="1"/>
  <c r="BJ25" i="1"/>
  <c r="BI25" i="1"/>
  <c r="BH25" i="1"/>
  <c r="BG25" i="1"/>
  <c r="BC25" i="1"/>
  <c r="BD25" i="1" s="1"/>
  <c r="CD24" i="1"/>
  <c r="CC24" i="1"/>
  <c r="CB24" i="1"/>
  <c r="CA24" i="1"/>
  <c r="BZ24" i="1"/>
  <c r="BY24" i="1"/>
  <c r="BX24" i="1"/>
  <c r="BW24" i="1"/>
  <c r="BV24" i="1"/>
  <c r="BU24" i="1"/>
  <c r="BT24" i="1"/>
  <c r="BS24" i="1"/>
  <c r="BR24" i="1"/>
  <c r="BQ24" i="1"/>
  <c r="BP24" i="1"/>
  <c r="BO24" i="1"/>
  <c r="BN24" i="1"/>
  <c r="BM24" i="1"/>
  <c r="BL24" i="1"/>
  <c r="BK24" i="1"/>
  <c r="BJ24" i="1"/>
  <c r="BI24" i="1"/>
  <c r="BH24" i="1"/>
  <c r="BG24" i="1"/>
  <c r="BC24" i="1"/>
  <c r="BD24" i="1" s="1"/>
  <c r="CD23" i="1"/>
  <c r="CC23" i="1"/>
  <c r="CB23" i="1"/>
  <c r="CA23" i="1"/>
  <c r="BZ23" i="1"/>
  <c r="BY23" i="1"/>
  <c r="BX23" i="1"/>
  <c r="BW23" i="1"/>
  <c r="BV23" i="1"/>
  <c r="BU23" i="1"/>
  <c r="BT23" i="1"/>
  <c r="BS23" i="1"/>
  <c r="BR23" i="1"/>
  <c r="BQ23" i="1"/>
  <c r="BP23" i="1"/>
  <c r="BO23" i="1"/>
  <c r="BN23" i="1"/>
  <c r="BM23" i="1"/>
  <c r="BL23" i="1"/>
  <c r="BK23" i="1"/>
  <c r="BJ23" i="1"/>
  <c r="BI23" i="1"/>
  <c r="BH23" i="1"/>
  <c r="BG23" i="1"/>
  <c r="BC23" i="1"/>
  <c r="BD23" i="1" s="1"/>
  <c r="CD22" i="1"/>
  <c r="CC22" i="1"/>
  <c r="CB22" i="1"/>
  <c r="CA22" i="1"/>
  <c r="BZ22" i="1"/>
  <c r="BY22" i="1"/>
  <c r="BX22" i="1"/>
  <c r="BW22" i="1"/>
  <c r="BV22" i="1"/>
  <c r="BU22" i="1"/>
  <c r="BT22" i="1"/>
  <c r="BS22" i="1"/>
  <c r="BR22" i="1"/>
  <c r="BQ22" i="1"/>
  <c r="BP22" i="1"/>
  <c r="BO22" i="1"/>
  <c r="BN22" i="1"/>
  <c r="BM22" i="1"/>
  <c r="BL22" i="1"/>
  <c r="BK22" i="1"/>
  <c r="BJ22" i="1"/>
  <c r="BI22" i="1"/>
  <c r="BH22" i="1"/>
  <c r="BG22" i="1"/>
  <c r="BC22" i="1"/>
  <c r="BD22" i="1" s="1"/>
  <c r="CD21" i="1"/>
  <c r="CC21" i="1"/>
  <c r="CB21" i="1"/>
  <c r="CA21" i="1"/>
  <c r="BZ21" i="1"/>
  <c r="BY21" i="1"/>
  <c r="BX21" i="1"/>
  <c r="BW21" i="1"/>
  <c r="BV21" i="1"/>
  <c r="BU21" i="1"/>
  <c r="BT21" i="1"/>
  <c r="BS21" i="1"/>
  <c r="BR21" i="1"/>
  <c r="BQ21" i="1"/>
  <c r="BP21" i="1"/>
  <c r="BO21" i="1"/>
  <c r="BN21" i="1"/>
  <c r="BM21" i="1"/>
  <c r="BL21" i="1"/>
  <c r="BK21" i="1"/>
  <c r="BJ21" i="1"/>
  <c r="BI21" i="1"/>
  <c r="BH21" i="1"/>
  <c r="BG21" i="1"/>
  <c r="BC21" i="1"/>
  <c r="BD21" i="1" s="1"/>
  <c r="CD20" i="1"/>
  <c r="CC20" i="1"/>
  <c r="CB20" i="1"/>
  <c r="CA20" i="1"/>
  <c r="BZ20" i="1"/>
  <c r="BY20" i="1"/>
  <c r="BX20" i="1"/>
  <c r="BW20" i="1"/>
  <c r="BV20" i="1"/>
  <c r="BU20" i="1"/>
  <c r="BT20" i="1"/>
  <c r="BS20" i="1"/>
  <c r="BR20" i="1"/>
  <c r="BQ20" i="1"/>
  <c r="BP20" i="1"/>
  <c r="BO20" i="1"/>
  <c r="BN20" i="1"/>
  <c r="BM20" i="1"/>
  <c r="BL20" i="1"/>
  <c r="BK20" i="1"/>
  <c r="BJ20" i="1"/>
  <c r="BI20" i="1"/>
  <c r="BH20" i="1"/>
  <c r="BG20" i="1"/>
  <c r="BC20" i="1"/>
  <c r="BD20" i="1" s="1"/>
  <c r="CD19" i="1"/>
  <c r="CC19" i="1"/>
  <c r="CB19" i="1"/>
  <c r="CA19" i="1"/>
  <c r="BZ19" i="1"/>
  <c r="BY19" i="1"/>
  <c r="BX19" i="1"/>
  <c r="BW19" i="1"/>
  <c r="BV19" i="1"/>
  <c r="BU19" i="1"/>
  <c r="BT19" i="1"/>
  <c r="BS19" i="1"/>
  <c r="BR19" i="1"/>
  <c r="BQ19" i="1"/>
  <c r="BP19" i="1"/>
  <c r="BO19" i="1"/>
  <c r="BN19" i="1"/>
  <c r="BM19" i="1"/>
  <c r="BL19" i="1"/>
  <c r="BK19" i="1"/>
  <c r="BJ19" i="1"/>
  <c r="BI19" i="1"/>
  <c r="BH19" i="1"/>
  <c r="BG19" i="1"/>
  <c r="BC19" i="1"/>
  <c r="BD19" i="1" s="1"/>
  <c r="CD18" i="1"/>
  <c r="CC18" i="1"/>
  <c r="CB18" i="1"/>
  <c r="CA18" i="1"/>
  <c r="BZ18" i="1"/>
  <c r="BY18" i="1"/>
  <c r="BX18" i="1"/>
  <c r="BW18" i="1"/>
  <c r="BV18" i="1"/>
  <c r="BU18" i="1"/>
  <c r="BT18" i="1"/>
  <c r="BS18" i="1"/>
  <c r="BR18" i="1"/>
  <c r="BQ18" i="1"/>
  <c r="BP18" i="1"/>
  <c r="BO18" i="1"/>
  <c r="BN18" i="1"/>
  <c r="BM18" i="1"/>
  <c r="BL18" i="1"/>
  <c r="BK18" i="1"/>
  <c r="BJ18" i="1"/>
  <c r="BI18" i="1"/>
  <c r="BH18" i="1"/>
  <c r="BG18" i="1"/>
  <c r="BC18" i="1"/>
  <c r="BD18" i="1" s="1"/>
  <c r="CD17" i="1"/>
  <c r="CC17" i="1"/>
  <c r="CB17" i="1"/>
  <c r="CA17" i="1"/>
  <c r="BZ17" i="1"/>
  <c r="BY17" i="1"/>
  <c r="BX17" i="1"/>
  <c r="BW17" i="1"/>
  <c r="BV17" i="1"/>
  <c r="BU17" i="1"/>
  <c r="BT17" i="1"/>
  <c r="BS17" i="1"/>
  <c r="BR17" i="1"/>
  <c r="BQ17" i="1"/>
  <c r="BP17" i="1"/>
  <c r="BO17" i="1"/>
  <c r="BN17" i="1"/>
  <c r="BM17" i="1"/>
  <c r="BL17" i="1"/>
  <c r="BK17" i="1"/>
  <c r="BJ17" i="1"/>
  <c r="BI17" i="1"/>
  <c r="BH17" i="1"/>
  <c r="BG17" i="1"/>
  <c r="BC17" i="1"/>
  <c r="BD17" i="1" s="1"/>
  <c r="CD16" i="1"/>
  <c r="CC16" i="1"/>
  <c r="CB16" i="1"/>
  <c r="CA16" i="1"/>
  <c r="BZ16" i="1"/>
  <c r="BY16" i="1"/>
  <c r="BX16" i="1"/>
  <c r="BW16" i="1"/>
  <c r="BV16" i="1"/>
  <c r="BU16" i="1"/>
  <c r="BT16" i="1"/>
  <c r="BS16" i="1"/>
  <c r="BR16" i="1"/>
  <c r="BQ16" i="1"/>
  <c r="BP16" i="1"/>
  <c r="BO16" i="1"/>
  <c r="BN16" i="1"/>
  <c r="BM16" i="1"/>
  <c r="BL16" i="1"/>
  <c r="BK16" i="1"/>
  <c r="BJ16" i="1"/>
  <c r="BI16" i="1"/>
  <c r="BH16" i="1"/>
  <c r="BG16" i="1"/>
  <c r="BC16" i="1"/>
  <c r="BD16" i="1" s="1"/>
  <c r="CD15" i="1"/>
  <c r="CC15" i="1"/>
  <c r="CB15" i="1"/>
  <c r="CA15" i="1"/>
  <c r="BZ15" i="1"/>
  <c r="BY15" i="1"/>
  <c r="BX15" i="1"/>
  <c r="BW15" i="1"/>
  <c r="BV15" i="1"/>
  <c r="BU15" i="1"/>
  <c r="BT15" i="1"/>
  <c r="BS15" i="1"/>
  <c r="BR15" i="1"/>
  <c r="BQ15" i="1"/>
  <c r="BP15" i="1"/>
  <c r="BO15" i="1"/>
  <c r="BN15" i="1"/>
  <c r="BM15" i="1"/>
  <c r="BL15" i="1"/>
  <c r="BK15" i="1"/>
  <c r="BJ15" i="1"/>
  <c r="BI15" i="1"/>
  <c r="BH15" i="1"/>
  <c r="BG15" i="1"/>
  <c r="BC15" i="1"/>
  <c r="BD15" i="1" s="1"/>
  <c r="CD14" i="1"/>
  <c r="CC14" i="1"/>
  <c r="CB14" i="1"/>
  <c r="CA14" i="1"/>
  <c r="BZ14" i="1"/>
  <c r="BY14" i="1"/>
  <c r="BX14" i="1"/>
  <c r="BW14" i="1"/>
  <c r="BV14" i="1"/>
  <c r="BU14" i="1"/>
  <c r="BT14" i="1"/>
  <c r="BS14" i="1"/>
  <c r="BR14" i="1"/>
  <c r="BQ14" i="1"/>
  <c r="BP14" i="1"/>
  <c r="BO14" i="1"/>
  <c r="BN14" i="1"/>
  <c r="BM14" i="1"/>
  <c r="BL14" i="1"/>
  <c r="BK14" i="1"/>
  <c r="BJ14" i="1"/>
  <c r="BI14" i="1"/>
  <c r="BH14" i="1"/>
  <c r="BG14" i="1"/>
  <c r="BC14" i="1"/>
  <c r="BD14" i="1" s="1"/>
  <c r="CD13" i="1"/>
  <c r="CC13" i="1"/>
  <c r="CB13" i="1"/>
  <c r="CA13" i="1"/>
  <c r="BZ13" i="1"/>
  <c r="BY13" i="1"/>
  <c r="BX13" i="1"/>
  <c r="BW13" i="1"/>
  <c r="BV13" i="1"/>
  <c r="BU13" i="1"/>
  <c r="BT13" i="1"/>
  <c r="BS13" i="1"/>
  <c r="BR13" i="1"/>
  <c r="BQ13" i="1"/>
  <c r="BP13" i="1"/>
  <c r="BO13" i="1"/>
  <c r="BN13" i="1"/>
  <c r="BM13" i="1"/>
  <c r="BL13" i="1"/>
  <c r="BK13" i="1"/>
  <c r="BJ13" i="1"/>
  <c r="BI13" i="1"/>
  <c r="BH13" i="1"/>
  <c r="BG13" i="1"/>
  <c r="BC13" i="1"/>
  <c r="BD13" i="1" s="1"/>
  <c r="CD12" i="1"/>
  <c r="CC12" i="1"/>
  <c r="CB12" i="1"/>
  <c r="CA12" i="1"/>
  <c r="BZ12" i="1"/>
  <c r="BY12" i="1"/>
  <c r="BX12" i="1"/>
  <c r="BW12" i="1"/>
  <c r="BV12" i="1"/>
  <c r="BU12" i="1"/>
  <c r="BT12" i="1"/>
  <c r="BS12" i="1"/>
  <c r="BR12" i="1"/>
  <c r="BQ12" i="1"/>
  <c r="BP12" i="1"/>
  <c r="BO12" i="1"/>
  <c r="BN12" i="1"/>
  <c r="BM12" i="1"/>
  <c r="BL12" i="1"/>
  <c r="BK12" i="1"/>
  <c r="BJ12" i="1"/>
  <c r="BI12" i="1"/>
  <c r="BH12" i="1"/>
  <c r="BG12" i="1"/>
  <c r="BC12" i="1"/>
  <c r="BD12" i="1" s="1"/>
  <c r="CD11" i="1"/>
  <c r="CC11" i="1"/>
  <c r="CB11" i="1"/>
  <c r="CA11" i="1"/>
  <c r="BZ11" i="1"/>
  <c r="BY11" i="1"/>
  <c r="BX11" i="1"/>
  <c r="BW11" i="1"/>
  <c r="BV11" i="1"/>
  <c r="BU11" i="1"/>
  <c r="BT11" i="1"/>
  <c r="BS11" i="1"/>
  <c r="BR11" i="1"/>
  <c r="BQ11" i="1"/>
  <c r="BP11" i="1"/>
  <c r="BO11" i="1"/>
  <c r="BN11" i="1"/>
  <c r="BM11" i="1"/>
  <c r="BL11" i="1"/>
  <c r="BK11" i="1"/>
  <c r="BJ11" i="1"/>
  <c r="BI11" i="1"/>
  <c r="BH11" i="1"/>
  <c r="BG11" i="1"/>
  <c r="BC11" i="1"/>
  <c r="BD11" i="1" s="1"/>
  <c r="CD10" i="1"/>
  <c r="CC10" i="1"/>
  <c r="CB10" i="1"/>
  <c r="CA10" i="1"/>
  <c r="BZ10" i="1"/>
  <c r="BY10" i="1"/>
  <c r="BX10" i="1"/>
  <c r="BW10" i="1"/>
  <c r="BV10" i="1"/>
  <c r="BU10" i="1"/>
  <c r="BT10" i="1"/>
  <c r="BS10" i="1"/>
  <c r="BR10" i="1"/>
  <c r="BQ10" i="1"/>
  <c r="BP10" i="1"/>
  <c r="BO10" i="1"/>
  <c r="BN10" i="1"/>
  <c r="BM10" i="1"/>
  <c r="BL10" i="1"/>
  <c r="BK10" i="1"/>
  <c r="BJ10" i="1"/>
  <c r="BI10" i="1"/>
  <c r="BH10" i="1"/>
  <c r="BG10" i="1"/>
  <c r="BC10" i="1"/>
  <c r="BD10" i="1" s="1"/>
  <c r="CD9" i="1"/>
  <c r="CC9" i="1"/>
  <c r="CB9" i="1"/>
  <c r="CA9" i="1"/>
  <c r="BZ9" i="1"/>
  <c r="BY9" i="1"/>
  <c r="BX9" i="1"/>
  <c r="BW9" i="1"/>
  <c r="BV9" i="1"/>
  <c r="BU9" i="1"/>
  <c r="BT9" i="1"/>
  <c r="BS9" i="1"/>
  <c r="BR9" i="1"/>
  <c r="BQ9" i="1"/>
  <c r="BP9" i="1"/>
  <c r="BO9" i="1"/>
  <c r="BN9" i="1"/>
  <c r="BM9" i="1"/>
  <c r="BL9" i="1"/>
  <c r="BK9" i="1"/>
  <c r="BJ9" i="1"/>
  <c r="BI9" i="1"/>
  <c r="BH9" i="1"/>
  <c r="BG9" i="1"/>
  <c r="BC9" i="1"/>
  <c r="BD9" i="1" s="1"/>
  <c r="CD8" i="1"/>
  <c r="CC8" i="1"/>
  <c r="CB8" i="1"/>
  <c r="CA8" i="1"/>
  <c r="BZ8" i="1"/>
  <c r="BY8" i="1"/>
  <c r="BX8" i="1"/>
  <c r="BW8" i="1"/>
  <c r="BV8" i="1"/>
  <c r="BU8" i="1"/>
  <c r="BT8" i="1"/>
  <c r="BS8" i="1"/>
  <c r="BR8" i="1"/>
  <c r="BQ8" i="1"/>
  <c r="BP8" i="1"/>
  <c r="BO8" i="1"/>
  <c r="BN8" i="1"/>
  <c r="BM8" i="1"/>
  <c r="BL8" i="1"/>
  <c r="BK8" i="1"/>
  <c r="BJ8" i="1"/>
  <c r="BI8" i="1"/>
  <c r="BH8" i="1"/>
  <c r="BG8" i="1"/>
  <c r="BC8" i="1"/>
  <c r="BD8" i="1" s="1"/>
  <c r="CD7" i="1"/>
  <c r="CC7" i="1"/>
  <c r="CB7" i="1"/>
  <c r="CA7" i="1"/>
  <c r="BZ7" i="1"/>
  <c r="BY7" i="1"/>
  <c r="BX7" i="1"/>
  <c r="BW7" i="1"/>
  <c r="BV7" i="1"/>
  <c r="BU7" i="1"/>
  <c r="BT7" i="1"/>
  <c r="BS7" i="1"/>
  <c r="BR7" i="1"/>
  <c r="BQ7" i="1"/>
  <c r="BP7" i="1"/>
  <c r="BO7" i="1"/>
  <c r="BN7" i="1"/>
  <c r="BM7" i="1"/>
  <c r="BL7" i="1"/>
  <c r="BK7" i="1"/>
  <c r="BJ7" i="1"/>
  <c r="BI7" i="1"/>
  <c r="BH7" i="1"/>
  <c r="BG7" i="1"/>
  <c r="BC7" i="1"/>
  <c r="BD7" i="1" s="1"/>
  <c r="CD6" i="1"/>
  <c r="CC6" i="1"/>
  <c r="CB6" i="1"/>
  <c r="CA6" i="1"/>
  <c r="BZ6" i="1"/>
  <c r="BY6" i="1"/>
  <c r="BX6" i="1"/>
  <c r="BW6" i="1"/>
  <c r="BV6" i="1"/>
  <c r="BU6" i="1"/>
  <c r="BT6" i="1"/>
  <c r="BS6" i="1"/>
  <c r="BR6" i="1"/>
  <c r="BQ6" i="1"/>
  <c r="BP6" i="1"/>
  <c r="BO6" i="1"/>
  <c r="BN6" i="1"/>
  <c r="BM6" i="1"/>
  <c r="BL6" i="1"/>
  <c r="BK6" i="1"/>
  <c r="BJ6" i="1"/>
  <c r="BI6" i="1"/>
  <c r="BH6" i="1"/>
  <c r="BG6" i="1"/>
  <c r="BC6" i="1"/>
  <c r="BD6" i="1" s="1"/>
  <c r="CD5" i="1"/>
  <c r="CC5" i="1"/>
  <c r="CB5" i="1"/>
  <c r="CA5" i="1"/>
  <c r="BZ5" i="1"/>
  <c r="BY5" i="1"/>
  <c r="BX5" i="1"/>
  <c r="BW5" i="1"/>
  <c r="BV5" i="1"/>
  <c r="BU5" i="1"/>
  <c r="BT5" i="1"/>
  <c r="BS5" i="1"/>
  <c r="BR5" i="1"/>
  <c r="BQ5" i="1"/>
  <c r="BP5" i="1"/>
  <c r="BO5" i="1"/>
  <c r="BN5" i="1"/>
  <c r="BM5" i="1"/>
  <c r="BL5" i="1"/>
  <c r="BK5" i="1"/>
  <c r="BJ5" i="1"/>
  <c r="BI5" i="1"/>
  <c r="BH5" i="1"/>
  <c r="BG5" i="1"/>
  <c r="BC5" i="1"/>
  <c r="BD5" i="1" s="1"/>
  <c r="CD4" i="1"/>
  <c r="CC4" i="1"/>
  <c r="CB4" i="1"/>
  <c r="CA4" i="1"/>
  <c r="BZ4" i="1"/>
  <c r="BY4" i="1"/>
  <c r="BX4" i="1"/>
  <c r="BW4" i="1"/>
  <c r="BV4" i="1"/>
  <c r="BU4" i="1"/>
  <c r="BT4" i="1"/>
  <c r="BS4" i="1"/>
  <c r="BR4" i="1"/>
  <c r="BQ4" i="1"/>
  <c r="BP4" i="1"/>
  <c r="BO4" i="1"/>
  <c r="BN4" i="1"/>
  <c r="BM4" i="1"/>
  <c r="BL4" i="1"/>
  <c r="BK4" i="1"/>
  <c r="BJ4" i="1"/>
  <c r="BI4" i="1"/>
  <c r="BH4" i="1"/>
  <c r="BG4" i="1"/>
  <c r="BC4" i="1"/>
  <c r="BD4" i="1" s="1"/>
  <c r="E5" i="2" s="1"/>
  <c r="B5" i="2" l="1"/>
</calcChain>
</file>

<file path=xl/sharedStrings.xml><?xml version="1.0" encoding="utf-8"?>
<sst xmlns="http://schemas.openxmlformats.org/spreadsheetml/2006/main" count="9181" uniqueCount="2683">
  <si>
    <t>B.A. Filmmaking – Integrated Final Working System</t>
  </si>
  <si>
    <t>For Excel: grade and comment dropdowns work directly. For Google Sheets: use Comment Matrix to review combinations and apply dropdowns natively if needed.</t>
  </si>
  <si>
    <t>Student Name</t>
  </si>
  <si>
    <t>Roll No.</t>
  </si>
  <si>
    <t>Department / Specialisation</t>
  </si>
  <si>
    <t>Sem I Screenwriting Grade</t>
  </si>
  <si>
    <t>Sem I Screenwriting Comment</t>
  </si>
  <si>
    <t>Sem I Direction Grade</t>
  </si>
  <si>
    <t>Sem I Direction Comment</t>
  </si>
  <si>
    <t>Sem I Production Grade</t>
  </si>
  <si>
    <t>Sem I Production Comment</t>
  </si>
  <si>
    <t>Sem I Cine Grade</t>
  </si>
  <si>
    <t>Sem I Cine Comment</t>
  </si>
  <si>
    <t>Sem I Sound Grade</t>
  </si>
  <si>
    <t>Sem I Sound Comment</t>
  </si>
  <si>
    <t>Sem I Edit Grade</t>
  </si>
  <si>
    <t>Sem I Edit Comment</t>
  </si>
  <si>
    <t>Sem II Screenwriting Grade</t>
  </si>
  <si>
    <t>Sem II Screenwriting Comment</t>
  </si>
  <si>
    <t>Sem II Direction Grade</t>
  </si>
  <si>
    <t>Sem II Direction Comment</t>
  </si>
  <si>
    <t>Sem II Production Grade</t>
  </si>
  <si>
    <t>Sem II Production Comment</t>
  </si>
  <si>
    <t>Sem II Cine Grade</t>
  </si>
  <si>
    <t>Sem II Cine Comment</t>
  </si>
  <si>
    <t>Sem II Sound Grade</t>
  </si>
  <si>
    <t>Sem II Sound Comment</t>
  </si>
  <si>
    <t>Sem II Edit Grade</t>
  </si>
  <si>
    <t>Sem II Edit Comment</t>
  </si>
  <si>
    <t>Sem III Specialisation Grade</t>
  </si>
  <si>
    <t>Sem III Specialisation Comment</t>
  </si>
  <si>
    <t>Sem III Direction Grade</t>
  </si>
  <si>
    <t>Sem III Direction Comment</t>
  </si>
  <si>
    <t>Sem III Production Grade</t>
  </si>
  <si>
    <t>Sem III Production Comment</t>
  </si>
  <si>
    <t>Sem IV Specialisation Grade</t>
  </si>
  <si>
    <t>Sem IV Specialisation Comment</t>
  </si>
  <si>
    <t>Sem IV Direction Grade</t>
  </si>
  <si>
    <t>Sem IV Direction Comment</t>
  </si>
  <si>
    <t>Sem IV Production Grade</t>
  </si>
  <si>
    <t>Sem IV Production Comment</t>
  </si>
  <si>
    <t>Sem V Specialisation Grade</t>
  </si>
  <si>
    <t>Sem V Specialisation Comment</t>
  </si>
  <si>
    <t>Sem V Direction Grade</t>
  </si>
  <si>
    <t>Sem V Direction Comment</t>
  </si>
  <si>
    <t>Sem V Production Grade</t>
  </si>
  <si>
    <t>Sem V Production Comment</t>
  </si>
  <si>
    <t>Sem VI Specialisation Grade</t>
  </si>
  <si>
    <t>Sem VI Specialisation Comment</t>
  </si>
  <si>
    <t>Sem VI Direction Grade</t>
  </si>
  <si>
    <t>Sem VI Direction Comment</t>
  </si>
  <si>
    <t>Sem VI Production Grade</t>
  </si>
  <si>
    <t>Sem VI Production Comment</t>
  </si>
  <si>
    <t>Creative Comment</t>
  </si>
  <si>
    <t>Technical Comment</t>
  </si>
  <si>
    <t>Professional Comment</t>
  </si>
  <si>
    <t>Final %</t>
  </si>
  <si>
    <t>Final Grade</t>
  </si>
  <si>
    <t>Portfolio URL</t>
  </si>
  <si>
    <t>SRIRAM</t>
  </si>
  <si>
    <t>Cinematography</t>
  </si>
  <si>
    <t>C</t>
  </si>
  <si>
    <t>Needs stronger control over narrative progression to meet foundation writing expectations more consistently.</t>
  </si>
  <si>
    <t>Reflects basic narrative control, though consistency against foundational understanding expectations needs improvement.</t>
  </si>
  <si>
    <t>A</t>
  </si>
  <si>
    <t>Production: Displays masterful technical command, ensuring that all production elements are polished and professionally executed.</t>
  </si>
  <si>
    <t>Cinematography: Camera angles are used without clear purpose or variation.</t>
  </si>
  <si>
    <t>D</t>
  </si>
  <si>
    <t>Sound Design: Requires significant improvement in Portable Audio Recording Devices.</t>
  </si>
  <si>
    <t>Editing: Shot lengths feel random; pacing does not support mood or engagement.</t>
  </si>
  <si>
    <t>Screenwriting: Conflict is underdeveloped or unclear, reducing engagement.</t>
  </si>
  <si>
    <t>Direction: Fails to use visualisation tools required for planning scenes.</t>
  </si>
  <si>
    <t>Production: Significant gaps in foundational knowledge are hindering the ability to complete Semester tasks effectively.</t>
  </si>
  <si>
    <t>B</t>
  </si>
  <si>
    <t>Cinematography: Indicates some connection between emotion and movement, though not fully developed.</t>
  </si>
  <si>
    <t>Sound Design: Basic capability in Sound Recording &amp; Sound Editing of Dialogue Scenes.</t>
  </si>
  <si>
    <t>Editing: Basic understanding present across dialogue, montage, and sound, but execution is inconsistent.</t>
  </si>
  <si>
    <t>Cinematography: Executes camera movements with clear narrative intent, effectively supporting storytelling.</t>
  </si>
  <si>
    <t>Direction: Demonstrates a strong documentary vision with clear thematic focus, while further deepening observational nuance.</t>
  </si>
  <si>
    <t>Production: Demonstrates a successful grasp of advanced Sem concepts, applying them effectively to reach multifaceted outcomes.</t>
  </si>
  <si>
    <t>Cinematography: Does not demonstrate understanding of color correction or visual continuity.</t>
  </si>
  <si>
    <t>Direction: Integrates all departments cohesively, though minor inconsistencies in tonal control can be improved.</t>
  </si>
  <si>
    <t>Production: Demonstrates a solid grasp of professional-level tasks, successfully applying Sem theory to produce effective, high-quality outcomes.</t>
  </si>
  <si>
    <t>Cinematography: Shows limited understanding of cinematography styles and their application.</t>
  </si>
  <si>
    <t>Direction: Shows excellent understanding of VOD storytelling dynamics, while pushing for more innovative visual treatment.</t>
  </si>
  <si>
    <t>Production: Significant gaps in specialized knowledge are preventing the successful execution of advanced Semester production tasks.</t>
  </si>
  <si>
    <t>Cinematography: Struggles to interpret and translate direction into cinematographic decisions.</t>
  </si>
  <si>
    <t>Direction: Actor direction is inconsistent, affecting performance quality.</t>
  </si>
  <si>
    <t>Production: Demonstrates the basic capability required to complete the capstone, though the final work lacks the depth of a specialized professional.</t>
  </si>
  <si>
    <t>Indicates basic narrative sensitivity, though consistency against professional readiness and final output expectations needs improvement.</t>
  </si>
  <si>
    <t>Needs stronger control over tool command to meet professional readiness and final output expectations more consistently.</t>
  </si>
  <si>
    <t>Requires better control over professional attitude to meet professional readiness and final output expectations more consistently.</t>
  </si>
  <si>
    <t>SISTLA</t>
  </si>
  <si>
    <t>Production: Requires significant improvement in fundamentals and execution for sem ii (5).</t>
  </si>
  <si>
    <t>PRAVEEN</t>
  </si>
  <si>
    <t>ANNAPURNA COLLEGE OF FILM AND MEDIA</t>
  </si>
  <si>
    <t>Select Roll No.</t>
  </si>
  <si>
    <t>Foundation</t>
  </si>
  <si>
    <t>Semester</t>
  </si>
  <si>
    <t>Screenwriting</t>
  </si>
  <si>
    <t>Direction</t>
  </si>
  <si>
    <t>Production</t>
  </si>
  <si>
    <t>Cine</t>
  </si>
  <si>
    <t>Sound</t>
  </si>
  <si>
    <t>Edit</t>
  </si>
  <si>
    <t>Sem I</t>
  </si>
  <si>
    <t>Sem II</t>
  </si>
  <si>
    <t>Specialisation Semesters</t>
  </si>
  <si>
    <t>Specialisation</t>
  </si>
  <si>
    <t>Specialisation Comment</t>
  </si>
  <si>
    <t>Direction Comment</t>
  </si>
  <si>
    <t>Production Comment</t>
  </si>
  <si>
    <t>Sem III</t>
  </si>
  <si>
    <t>Sem IV</t>
  </si>
  <si>
    <t>Sem V</t>
  </si>
  <si>
    <t>Sem VI</t>
  </si>
  <si>
    <t>Final Summary</t>
  </si>
  <si>
    <t>ACFM Integrated Working System - Corrected Specialisation Logic</t>
  </si>
  <si>
    <t>Specialisation dropdown includes only: Screenwriting, Cinematography, Editing, Sound Design, VFX.</t>
  </si>
  <si>
    <t>Production is NOT a specialisation. It is retained as a common subject/component for all students.</t>
  </si>
  <si>
    <t>Direction is also retained as a common subject/component.</t>
  </si>
  <si>
    <t>Production grade and Production comment dropdowns continue separately for Sem I to Sem VI.</t>
  </si>
  <si>
    <t>Student Composition pulls the selected specialisation from the Evaluation Sheet.</t>
  </si>
  <si>
    <t>Use Department / Specialisation column only for the student's chosen elective specialisation.</t>
  </si>
  <si>
    <t>Google Sheets note</t>
  </si>
  <si>
    <t>Excel dependent dropdowns may not survive Google conversion. If needed, use this workbook as the master and rebuild dropdowns natively in Google Sheets with Apps Script.</t>
  </si>
  <si>
    <t>Recommended workflow</t>
  </si>
  <si>
    <t>1. Review comments in Comment Matrix.</t>
  </si>
  <si>
    <t>2. Choose specialisation in Evaluation Sheet column C.</t>
  </si>
  <si>
    <t>3. Select grades.</t>
  </si>
  <si>
    <t>4. Select one comment from the mapped dropdown choices.</t>
  </si>
  <si>
    <t>5. Use Student Composition to review individual student output.</t>
  </si>
  <si>
    <t>Grades</t>
  </si>
  <si>
    <t>SemI_Screenwriting_A</t>
  </si>
  <si>
    <t>SemI_Direction_A</t>
  </si>
  <si>
    <t>SemI_Production_A</t>
  </si>
  <si>
    <t>SemI_Cinematography_A</t>
  </si>
  <si>
    <t>SemI_Sound_A</t>
  </si>
  <si>
    <t>SemI_Editing_A</t>
  </si>
  <si>
    <t>SemI_Screenwriting_B</t>
  </si>
  <si>
    <t>SemI_Direction_B</t>
  </si>
  <si>
    <t>SemI_Production_B</t>
  </si>
  <si>
    <t>SemI_Cinematography_B</t>
  </si>
  <si>
    <t>SemI_Sound_B</t>
  </si>
  <si>
    <t>SemI_Editing_B</t>
  </si>
  <si>
    <t>SemI_Screenwriting_C</t>
  </si>
  <si>
    <t>SemI_Direction_C</t>
  </si>
  <si>
    <t>SemI_Production_C</t>
  </si>
  <si>
    <t>SemI_Cinematography_C</t>
  </si>
  <si>
    <t>SemI_Sound_C</t>
  </si>
  <si>
    <t>SemI_Editing_C</t>
  </si>
  <si>
    <t>SemI_Screenwriting_D</t>
  </si>
  <si>
    <t>SemI_Direction_D</t>
  </si>
  <si>
    <t>SemI_Production_D</t>
  </si>
  <si>
    <t>SemI_Cinematography_D</t>
  </si>
  <si>
    <t>SemI_Sound_D</t>
  </si>
  <si>
    <t>SemI_Editing_D</t>
  </si>
  <si>
    <t>SemII_Screenwriting_A</t>
  </si>
  <si>
    <t>SemII_Direction_A</t>
  </si>
  <si>
    <t>SemII_Production_A</t>
  </si>
  <si>
    <t>SemII_Cinematography_A</t>
  </si>
  <si>
    <t>SemII_Sound_A</t>
  </si>
  <si>
    <t>SemII_Editing_A</t>
  </si>
  <si>
    <t>SemII_Screenwriting_B</t>
  </si>
  <si>
    <t>SemII_Direction_B</t>
  </si>
  <si>
    <t>SemII_Production_B</t>
  </si>
  <si>
    <t>SemII_Cinematography_B</t>
  </si>
  <si>
    <t>SemII_Sound_B</t>
  </si>
  <si>
    <t>SemII_Editing_B</t>
  </si>
  <si>
    <t>SemII_Screenwriting_C</t>
  </si>
  <si>
    <t>SemII_Direction_C</t>
  </si>
  <si>
    <t>SemII_Production_C</t>
  </si>
  <si>
    <t>SemII_Cinematography_C</t>
  </si>
  <si>
    <t>SemII_Sound_C</t>
  </si>
  <si>
    <t>SemII_Editing_C</t>
  </si>
  <si>
    <t>SemII_Screenwriting_D</t>
  </si>
  <si>
    <t>SemII_Direction_D</t>
  </si>
  <si>
    <t>SemII_Production_D</t>
  </si>
  <si>
    <t>SemII_Cinematography_D</t>
  </si>
  <si>
    <t>SemII_Sound_D</t>
  </si>
  <si>
    <t>SemII_Editing_D</t>
  </si>
  <si>
    <t>SemIII_Direction_A</t>
  </si>
  <si>
    <t>SemIII_Production_A</t>
  </si>
  <si>
    <t>Screenwriting_SemIII_A</t>
  </si>
  <si>
    <t>Cinematography_SemIII_A</t>
  </si>
  <si>
    <t>Editing_SemIII_A</t>
  </si>
  <si>
    <t>Sound_Design_SemIII_A</t>
  </si>
  <si>
    <t>Visual_Effects_SemIII_A</t>
  </si>
  <si>
    <t>SemIII_Direction_B</t>
  </si>
  <si>
    <t>SemIII_Production_B</t>
  </si>
  <si>
    <t>Screenwriting_SemIII_B</t>
  </si>
  <si>
    <t>Cinematography_SemIII_B</t>
  </si>
  <si>
    <t>Editing_SemIII_B</t>
  </si>
  <si>
    <t>Sound_Design_SemIII_B</t>
  </si>
  <si>
    <t>Visual_Effects_SemIII_B</t>
  </si>
  <si>
    <t>SemIII_Direction_C</t>
  </si>
  <si>
    <t>SemIII_Production_C</t>
  </si>
  <si>
    <t>Screenwriting_SemIII_C</t>
  </si>
  <si>
    <t>Cinematography_SemIII_C</t>
  </si>
  <si>
    <t>Editing_SemIII_C</t>
  </si>
  <si>
    <t>Sound_Design_SemIII_C</t>
  </si>
  <si>
    <t>Visual_Effects_SemIII_C</t>
  </si>
  <si>
    <t>SemIII_Direction_D</t>
  </si>
  <si>
    <t>SemIII_Production_D</t>
  </si>
  <si>
    <t>Screenwriting_SemIII_D</t>
  </si>
  <si>
    <t>Cinematography_SemIII_D</t>
  </si>
  <si>
    <t>Editing_SemIII_D</t>
  </si>
  <si>
    <t>Sound_Design_SemIII_D</t>
  </si>
  <si>
    <t>Visual_Effects_SemIII_D</t>
  </si>
  <si>
    <t>SemIV_Direction_A</t>
  </si>
  <si>
    <t>SemIV_Production_A</t>
  </si>
  <si>
    <t>Screenwriting_SemIV_A</t>
  </si>
  <si>
    <t>Cinematography_SemIV_A</t>
  </si>
  <si>
    <t>Editing_SemIV_A</t>
  </si>
  <si>
    <t>Sound_Design_SemIV_A</t>
  </si>
  <si>
    <t>Visual_Effects_SemIV_A</t>
  </si>
  <si>
    <t>SemIV_Direction_B</t>
  </si>
  <si>
    <t>SemIV_Production_B</t>
  </si>
  <si>
    <t>Screenwriting_SemIV_B</t>
  </si>
  <si>
    <t>Cinematography_SemIV_B</t>
  </si>
  <si>
    <t>Editing_SemIV_B</t>
  </si>
  <si>
    <t>Sound_Design_SemIV_B</t>
  </si>
  <si>
    <t>Visual_Effects_SemIV_B</t>
  </si>
  <si>
    <t>SemIV_Direction_C</t>
  </si>
  <si>
    <t>SemIV_Production_C</t>
  </si>
  <si>
    <t>Screenwriting_SemIV_C</t>
  </si>
  <si>
    <t>Cinematography_SemIV_C</t>
  </si>
  <si>
    <t>Editing_SemIV_C</t>
  </si>
  <si>
    <t>Sound_Design_SemIV_C</t>
  </si>
  <si>
    <t>Visual_Effects_SemIV_C</t>
  </si>
  <si>
    <t>SemIV_Direction_D</t>
  </si>
  <si>
    <t>SemIV_Production_D</t>
  </si>
  <si>
    <t>Screenwriting_SemIV_D</t>
  </si>
  <si>
    <t>Cinematography_SemIV_D</t>
  </si>
  <si>
    <t>Editing_SemIV_D</t>
  </si>
  <si>
    <t>Sound_Design_SemIV_D</t>
  </si>
  <si>
    <t>Visual_Effects_SemIV_D</t>
  </si>
  <si>
    <t>SemV_Direction_A</t>
  </si>
  <si>
    <t>SemV_Production_A</t>
  </si>
  <si>
    <t>Screenwriting_SemV_A</t>
  </si>
  <si>
    <t>Cinematography_SemV_A</t>
  </si>
  <si>
    <t>Editing_SemV_A</t>
  </si>
  <si>
    <t>Sound_Design_SemV_A</t>
  </si>
  <si>
    <t>Visual_Effects_SemV_A</t>
  </si>
  <si>
    <t>SemV_Direction_B</t>
  </si>
  <si>
    <t>SemV_Production_B</t>
  </si>
  <si>
    <t>Screenwriting_SemV_B</t>
  </si>
  <si>
    <t>Cinematography_SemV_B</t>
  </si>
  <si>
    <t>Editing_SemV_B</t>
  </si>
  <si>
    <t>Sound_Design_SemV_B</t>
  </si>
  <si>
    <t>Visual_Effects_SemV_B</t>
  </si>
  <si>
    <t>SemV_Direction_C</t>
  </si>
  <si>
    <t>SemV_Production_C</t>
  </si>
  <si>
    <t>Screenwriting_SemV_C</t>
  </si>
  <si>
    <t>Cinematography_SemV_C</t>
  </si>
  <si>
    <t>Editing_SemV_C</t>
  </si>
  <si>
    <t>Sound_Design_SemV_C</t>
  </si>
  <si>
    <t>Visual_Effects_SemV_C</t>
  </si>
  <si>
    <t>SemV_Direction_D</t>
  </si>
  <si>
    <t>SemV_Production_D</t>
  </si>
  <si>
    <t>Screenwriting_SemV_D</t>
  </si>
  <si>
    <t>Cinematography_SemV_D</t>
  </si>
  <si>
    <t>Editing_SemV_D</t>
  </si>
  <si>
    <t>Sound_Design_SemV_D</t>
  </si>
  <si>
    <t>Visual_Effects_SemV_D</t>
  </si>
  <si>
    <t>SemVI_Direction_A</t>
  </si>
  <si>
    <t>SemVI_Production_A</t>
  </si>
  <si>
    <t>Screenwriting_SemVI_A</t>
  </si>
  <si>
    <t>Cinematography_SemVI_A</t>
  </si>
  <si>
    <t>Editing_SemVI_A</t>
  </si>
  <si>
    <t>Sound_Design_SemVI_A</t>
  </si>
  <si>
    <t>Visual_Effects_SemVI_A</t>
  </si>
  <si>
    <t>SemVI_Direction_B</t>
  </si>
  <si>
    <t>SemVI_Production_B</t>
  </si>
  <si>
    <t>Screenwriting_SemVI_B</t>
  </si>
  <si>
    <t>Cinematography_SemVI_B</t>
  </si>
  <si>
    <t>Editing_SemVI_B</t>
  </si>
  <si>
    <t>Sound_Design_SemVI_B</t>
  </si>
  <si>
    <t>Visual_Effects_SemVI_B</t>
  </si>
  <si>
    <t>SemVI_Direction_C</t>
  </si>
  <si>
    <t>SemVI_Production_C</t>
  </si>
  <si>
    <t>Screenwriting_SemVI_C</t>
  </si>
  <si>
    <t>Cinematography_SemVI_C</t>
  </si>
  <si>
    <t>Editing_SemVI_C</t>
  </si>
  <si>
    <t>Sound_Design_SemVI_C</t>
  </si>
  <si>
    <t>Visual_Effects_SemVI_C</t>
  </si>
  <si>
    <t>SemVI_Direction_D</t>
  </si>
  <si>
    <t>SemVI_Production_D</t>
  </si>
  <si>
    <t>Screenwriting_SemVI_D</t>
  </si>
  <si>
    <t>Cinematography_SemVI_D</t>
  </si>
  <si>
    <t>Editing_SemVI_D</t>
  </si>
  <si>
    <t>Sound_Design_SemVI_D</t>
  </si>
  <si>
    <t>Visual_Effects_SemVI_D</t>
  </si>
  <si>
    <t>Creative_A</t>
  </si>
  <si>
    <t>Creative_B</t>
  </si>
  <si>
    <t>Creative_C</t>
  </si>
  <si>
    <t>Creative_D</t>
  </si>
  <si>
    <t>Technical_A</t>
  </si>
  <si>
    <t>Technical_B</t>
  </si>
  <si>
    <t>Technical_C</t>
  </si>
  <si>
    <t>Technical_D</t>
  </si>
  <si>
    <t>Professional_A</t>
  </si>
  <si>
    <t>Professional_B</t>
  </si>
  <si>
    <t>Professional_C</t>
  </si>
  <si>
    <t>Professional_D</t>
  </si>
  <si>
    <t>Screenwriting: Demonstrates strong ability to develop original concepts, supported by clear research and well-defined narrative intent.</t>
  </si>
  <si>
    <t>Direction: Demonstrates strong analytical ability in interpreting films, with clear understanding of directorial intent, visual language, and narrative construction.</t>
  </si>
  <si>
    <t>Cinematography: Demonstrates a clear and confident understanding of exposure, colour balance, and image control, supported by effective compositional choices.</t>
  </si>
  <si>
    <t>Sound Design: Demonstrates high-level clarity in Human Auditory System.</t>
  </si>
  <si>
    <t>Editing: Demonstrates strong control over story progression, using shot selection and duration effectively to build emotion. Continuity is maintained without becoming mechanical. Technical execution in Adobe Premiere Pro is precise and clean.</t>
  </si>
  <si>
    <t>Screenwriting: Shows a good understanding of concept development, though ideas require further refinement and clarity.</t>
  </si>
  <si>
    <t>Direction: Shows a good understanding of film analysis, though insights tend to remain descriptive rather than deeply critical.</t>
  </si>
  <si>
    <t>Production: Demonstrates a solid grasp of technical skills, though some minor inconsistencies in the final finish remain.</t>
  </si>
  <si>
    <t>Cinematography: Demonstrates a good understanding of exposure and colour, though consistency can be improved.</t>
  </si>
  <si>
    <t>Sound Design: Shows good understanding in Human Auditory System.</t>
  </si>
  <si>
    <t>Editing: Narrative progression is clear, but cuts are often functional rather than expressive. Needs to explore emotion through shot duration and arrangement.</t>
  </si>
  <si>
    <t>Screenwriting: Demonstrates limited clarity in concept development, with ideas remaining underdeveloped or vague.</t>
  </si>
  <si>
    <t>Direction: Displays limited engagement with film analysis, often focusing on surface-level observations.</t>
  </si>
  <si>
    <t>Production: Displays a basic capability in core production tasks, though the application of these skills is not yet fully realized.</t>
  </si>
  <si>
    <t>Cinematography: Demonstrates a basic understanding of exposure, but lacks consistency in control.</t>
  </si>
  <si>
    <t>Sound Design: Basic understanding in Human Auditory System.</t>
  </si>
  <si>
    <t>Editing: Cuts are mostly functional and maintain basic continuity, but lack emotional or narrative progression.</t>
  </si>
  <si>
    <t>Screenwriting: Shows no clear understanding of concept development, with ideas remaining incomplete or unclear.</t>
  </si>
  <si>
    <t>Direction: Shows little to no engagement with film analysis, lacking understanding of basic cinematic language.</t>
  </si>
  <si>
    <t>Production: Struggles to apply core concepts; a stronger focus on the basic fundamentals of the subject is required for progress.</t>
  </si>
  <si>
    <t>Cinematography: Demonstrates limited understanding of exposure and image control, with frequent inconsistencies.</t>
  </si>
  <si>
    <t>Sound Design: Requires significant improvement in Human Auditory System.</t>
  </si>
  <si>
    <t>Editing: Shots do not build meaning; sequence feels random and difficult to follow.</t>
  </si>
  <si>
    <t>Screenwriting: Writes dialogue that is natural, character-driven, and effectively reveals subtext without relying on exposition.</t>
  </si>
  <si>
    <t>Direction: Demonstrates strong control over staging and blocking, using space, movement, and composition with clear narrative intention.</t>
  </si>
  <si>
    <t>Production: Demonstrates a sophisticated ability to synthesize complex ideas into cohesive, high-level outcomes with seamless control.</t>
  </si>
  <si>
    <t>Cinematography: Shows strong understanding of motivated camera movement, with clear intent behind each movement choice.</t>
  </si>
  <si>
    <t>Sound Design: Demonstrates high-level clarity in Attributes of Tonality, Pitch, and Amplitude in Dialogue Scenes.</t>
  </si>
  <si>
    <t>Editing: Strong control across dialogue, continuity, pacing, montage, and VFX. Work is cohesive, emotionally engaging, and technically refined.</t>
  </si>
  <si>
    <t>Screenwriting: Writes dialogue that serves the narrative, though it occasionally becomes predictable or explanatory.</t>
  </si>
  <si>
    <t>Direction: Shows a good understanding of staging and blocking, though execution lacks consistency in complex scenes.</t>
  </si>
  <si>
    <t>Production: Demonstrates a solid grasp of Semester II concepts, successfully applying them to create functional and effective outcomes.</t>
  </si>
  <si>
    <t>Cinematography: Shows good understanding of camera movement, though motivation behind movements can be clearer.</t>
  </si>
  <si>
    <t>Sound Design: Shows good understanding in Attributes of Tonality, Pitch, and Amplitude in Dialogue Scenes.</t>
  </si>
  <si>
    <t>Editing: Clear and engaging dialogue editing with good pacing and continuity. Montage lacks conceptual strength; VFX integration needs improvement.</t>
  </si>
  <si>
    <t>Screenwriting: Dialogue lacks depth and often becomes functional or overly explanatory.</t>
  </si>
  <si>
    <t>Direction: Demonstrates limited control over staging and blocking, leading to unclear or unmotivated movement.</t>
  </si>
  <si>
    <t>Production: Demonstrates a basic capability in Semester tasks, though the transition to more complex production techniques is still ongoing.</t>
  </si>
  <si>
    <t>Cinematography: Shows limited understanding of motivated vs. unmotivated camera movement.</t>
  </si>
  <si>
    <t>Sound Design: Basic capability in Attributes of Tonality, Pitch, and Amplitude in Dialogue Scenes.</t>
  </si>
  <si>
    <t>Editing: Story is somewhat understandable, but montage lacks connection and VFX feels disconnected.</t>
  </si>
  <si>
    <t>Screenwriting: Dialogue is poorly constructed, lacking clarity, purpose, or character distinction.</t>
  </si>
  <si>
    <t>Direction: Shows no clear understanding of staging and blocking, resulting in ineffective scene construction.</t>
  </si>
  <si>
    <t>Cinematography: Shows little understanding of camera movement and its purpose.</t>
  </si>
  <si>
    <t>Sound Design: Requires significant improvement in Attributes of Tonality, Pitch, and Amplitude in Dialogue Scenes.</t>
  </si>
  <si>
    <t>Editing: Dialogue scenes are difficult to follow; structure and continuity are weak.</t>
  </si>
  <si>
    <t>Production: Exhibits a masterful ability to synthesize advanced Semester concepts into highly sophisticated and cohesive outcomes.</t>
  </si>
  <si>
    <t>Screenwriting: Demonstrates strong command over narrative theory, effectively applying story vs discourse, character arcs, and archetypes. Structural frameworks are used with precision, and dialogue remains economical and character-specific, revealing subtext without overstatement.</t>
  </si>
  <si>
    <t>Editing: Demonstrates strong control over filmic time, aligning visual rhythm with music effectively. Handles documentary material with clarity and constructs a cohesive narrative. Technical execution and workflow in Avid Media Composer are precise and efficient.</t>
  </si>
  <si>
    <t>Sound Design: Demonstrated strong execution in Production Sound Recording and team collaboratoin</t>
  </si>
  <si>
    <t>Demonstrates strong compositing quality in visual effects, aligned with interpretation and emerging craft ownership and executed with confidence.</t>
  </si>
  <si>
    <t>Direction: Shows a clear understanding of documentary form, though thematic depth can be strengthened.</t>
  </si>
  <si>
    <t>Screenwriting: Shows good understanding of narrative principles and character arcs, though application of story vs discourse is not always consistent. Dialogue is functional but occasionally relies on direct exposition.</t>
  </si>
  <si>
    <t>Cinematography: Shows good control of camera movement, though intent can be more clearly defined.</t>
  </si>
  <si>
    <t>Editing: Narrative and documentary structuring are clear. Filmic time is functional, but visual rhythm does not consistently align with music. Technical workflow is stable.</t>
  </si>
  <si>
    <t>Sound Design: Shows good creative understanding of Sound Fx Design with scope of improvement in Production Sound Recording</t>
  </si>
  <si>
    <t>Shows good compositing quality in visual effects, aligned with interpretation and emerging craft ownership, with room for stronger polish.</t>
  </si>
  <si>
    <t>Direction: Demonstrates a partial understanding of documentary storytelling, with unclear thematic focus.</t>
  </si>
  <si>
    <t>Production: Demonstrates a basic capability in executing Sem tasks, though the work lacks the depth expected at this stage of the course.</t>
  </si>
  <si>
    <t>Screenwriting: Demonstrates basic understanding of narrative concepts, though distinctions between story and discourse remain unclear in execution. Dialogue is largely functional and lacks character specificity.</t>
  </si>
  <si>
    <t>Cinematography: Shows limited control over camera movement, with unclear narrative intent.</t>
  </si>
  <si>
    <t>Editing: Story is understandable, but filmic time is not shaped effectively. Rhythm and sound integration are inconsistent. Workflow shows gaps.</t>
  </si>
  <si>
    <t>Sound Design: Basic understanding of Production Sound Recording; lacks technical and creative aspects of Sound Edting and Sound Fx Design</t>
  </si>
  <si>
    <t>Shows basic compositing quality in visual effects, though consistency against interpretation and emerging craft ownership expectations needs improvement.</t>
  </si>
  <si>
    <t>Direction: Lacks a clear documentary vision, with no defined theme or direction.</t>
  </si>
  <si>
    <t>Production: Significant gaps in foundational skills are preventing the successful completion of advanced Semester tasks.</t>
  </si>
  <si>
    <t>Screenwriting: Shows limited understanding of narrative principles, with unclear structure and weak distinction between story and discourse. Dialogue is overly expository and lacks dramatic function.</t>
  </si>
  <si>
    <t>Cinematography: Shows poor control of camera movement, with no clear narrative intent.</t>
  </si>
  <si>
    <t>Editing: Fails to organise footage into a coherent narrative. Filmic time and rhythm are not established. Workflow is weak.</t>
  </si>
  <si>
    <t>Sound Design: Requires significant improvement in all the topics of Sound Design of Semester 3</t>
  </si>
  <si>
    <t>Needs significant improvement in compositing quality in visual effects to meet interpretation and emerging craft ownership expectations.</t>
  </si>
  <si>
    <t>Direction: Demonstrates a strong directorial vision with effective mise-en-scène, though could push further into nuanced visual symbolism.</t>
  </si>
  <si>
    <t>Production: Demonstrates an exceptional ability to synthesize complex, high-level concepts into outcomes that meet professional industry standards.</t>
  </si>
  <si>
    <t>Screenwriting: Demonstrates strong control over storytelling techniques, effectively using devices such as McGuffin and indirect narration to shape layered narratives.</t>
  </si>
  <si>
    <t>Cinematography: Designs and executes camera movement on track/trolley with clear narrative intent and spatial awareness.</t>
  </si>
  <si>
    <t>Editing: Demonstrates deep understanding of mise-en-scène, including 360° spatial relationships and reversals. Edits reflect strong control over internal and external rhythm, including tonal contrast and sensory cutting. Handles data copying, verified backups, metadata tagging, and transcoding systematically. Outputs are accurately prepared for Pro Tools and DI workflows.</t>
  </si>
  <si>
    <t>Sound Design: Demonstrates high level skills in all the aligned outcomes of Sem IV</t>
  </si>
  <si>
    <t>Demonstrates strong compositing quality in visual effects, aligned with craft control and execution and executed with confidence.</t>
  </si>
  <si>
    <t>Direction: Shows a clear understanding of direction and mise-en-scène, though execution lacks consistency in key scenes.</t>
  </si>
  <si>
    <t>Screenwriting: Shows good understanding of storytelling techniques, though application of devices such as McGuffin or indirect narration lacks consistency.</t>
  </si>
  <si>
    <t>Cinematography: Shows good control of track/trolley movement, though intent can be more clearly defined.</t>
  </si>
  <si>
    <t>Editing: Understands mise-en-scène and spatial continuity, including basic 360° handling. However, filmic time and advanced cutting (tonal/sensory) are not fully developed. DIT workflow is functional.</t>
  </si>
  <si>
    <t>Sound Design: Displays good skills of Sound Editing and Production Sound Recording with scope of refinement in Music Design</t>
  </si>
  <si>
    <t>Shows good compositing quality in visual effects, aligned with craft control and execution, with room for stronger polish.</t>
  </si>
  <si>
    <t>Direction: Demonstrates a partial understanding of direction, though mise-en-scène lacks clarity and purpose.</t>
  </si>
  <si>
    <t>Production: Demonstrates the basic skills required for Semester , though the work lacks the professional depth expected at this stage.</t>
  </si>
  <si>
    <t>Screenwriting: Demonstrates basic understanding of storytelling techniques, though their application remains superficial.</t>
  </si>
  <si>
    <t>Cinematography: Shows limited control over track/trolley movement, with unclear narrative purpose.</t>
  </si>
  <si>
    <t>Editing: Basic awareness of staging, but struggles with spatial reversals and orientation. Filmic time and rhythm are inconsistent. DIT workflow is uneven.</t>
  </si>
  <si>
    <t>Sound Design: Execution skills of Production Sound and Sound Editing is average; needs significant improvement in handling Dubbing</t>
  </si>
  <si>
    <t>Shows basic compositing quality in visual effects, though consistency against craft control and execution expectations needs improvement.</t>
  </si>
  <si>
    <t>Direction: Lacks a clear directorial vision, with mise-en-scène poorly defined and inconsistent.</t>
  </si>
  <si>
    <t>Production: Significant gaps in core fundamentals persist, hindering the ability to meet the advanced requirements of Semester</t>
  </si>
  <si>
    <t>Screenwriting: Shows limited understanding of storytelling techniques, with ineffective or absent use of narrative devices.</t>
  </si>
  <si>
    <t>Cinematography: Shows poor control of camera movement on track/trolley, without clear intent.</t>
  </si>
  <si>
    <t>Editing: Cuts ignore blocking, staging, and 360° spatial logic. Viewer is frequently disoriented.</t>
  </si>
  <si>
    <t>Sound Design: Requires significant improvement in Production Sound Recording and Dubbing Methods</t>
  </si>
  <si>
    <t>Needs significant improvement in compositing quality in visual effects to meet craft control and execution expectations.</t>
  </si>
  <si>
    <t>Direction: Demonstrates a strong episodic vision with clear thematic continuity, while further refining tonal consistency across episodes.</t>
  </si>
  <si>
    <t>Production: Demonstrates a sophisticated ability to synthesize specialized Sem concepts into outcomes that exhibit both technical depth and creative flair.</t>
  </si>
  <si>
    <t>Screenwriting: Demonstrates strong control over non-linear, oneiric, and non-dramatic structures, using fragmentation and temporal shifts to enhance meaning rather than disrupt clarity.</t>
  </si>
  <si>
    <t>Cinematography: Designs and executes complex camera movements (crane, gimbal, rigs) with strong spatial awareness and narrative intent.</t>
  </si>
  <si>
    <t>Editing: Demonstrates strong control over genre, tension curves, and temporal structuring using varied metric patterns. Constructs meaning effectively. Shows disciplined workflow including data management, metadata, versioning, and delivery. Collaborates well with director/producer, contributing meaningfully to narrative decisions.</t>
  </si>
  <si>
    <t>Sound Design: Demonstrates strong technical control in all Studio Post Production Works</t>
  </si>
  <si>
    <t>Demonstrates strong compositing quality in visual effects, aligned with advanced workflow and collaboration and executed with confidence.</t>
  </si>
  <si>
    <t>Direction: Shows a clear understanding of episodic direction, though thematic consistency varies across episodes.</t>
  </si>
  <si>
    <t>Production: Demonstrates a consistent and strong command of Semester technical requirements, producing reliable and effective results.</t>
  </si>
  <si>
    <t>Screenwriting: Shows good understanding of non-linear and experimental structures, though transitions and narrative clarity are inconsistent.</t>
  </si>
  <si>
    <t>Cinematography: Shows good control of complex camera rigs, though movement intent can be more clearly defined.</t>
  </si>
  <si>
    <t>Editing: Editing reflects genre tone effectively. However, deeper signification through montage and juxtaposition is limited. Workflow is functional.</t>
  </si>
  <si>
    <t>Sound Design: Executes Music and Foley Recording efficiently with scope of improvement in Mix</t>
  </si>
  <si>
    <t>Shows good compositing quality in visual effects, aligned with advanced workflow and collaboration, with room for stronger polish.</t>
  </si>
  <si>
    <t>Direction: Demonstrates limited understanding of episodic storytelling, with weak thematic coherence.</t>
  </si>
  <si>
    <t>Production: Demonstrates a basic capability in specialized Semester tasks, though the execution lacks the depth of a seasoned practitioner.</t>
  </si>
  <si>
    <t>Screenwriting: Demonstrates basic understanding of non-linear or alternative structures, though execution leads to confusion.</t>
  </si>
  <si>
    <t>Cinematography: Shows limited control over complex camera rigs, with unclear movement intent.</t>
  </si>
  <si>
    <t>Editing: Genre markers are present but inconsistent. Tension and pacing are uneven. Workflow shows gaps.</t>
  </si>
  <si>
    <t>Sound Design: Displays basic skills of all Sound Post Production works; needs more improvement in Audio Signal Processing</t>
  </si>
  <si>
    <t>Shows basic compositing quality in visual effects, though consistency against advanced workflow and collaboration expectations needs improvement.</t>
  </si>
  <si>
    <t>Direction: Lacks a clear episodic vision, with no consistent theme or narrative direction.</t>
  </si>
  <si>
    <t>Screenwriting: Shows limited understanding of non-linear or experimental structures, resulting in disjointed storytelling.</t>
  </si>
  <si>
    <t>Cinematography: Shows poor control over camera rigs, with no clear narrative intent.</t>
  </si>
  <si>
    <t>Editing: Editing lacks tonal consistency and narrative clarity.</t>
  </si>
  <si>
    <t>Sound Design: Requires significant improvement in all operations of Dubbing, Foley and Music Recording</t>
  </si>
  <si>
    <t>Needs significant improvement in compositing quality in visual effects to meet advanced workflow and collaboration expectations.</t>
  </si>
  <si>
    <t>Direction: Demonstrates a mature directorial vision with strong audio-visual storytelling, while pushing further into stylistic distinctiveness.</t>
  </si>
  <si>
    <t>Production: Demonstrates a masterful synthesis of all course competencies, culminating in a final production of exceptional professional quality.</t>
  </si>
  <si>
    <t>Screenwriting: Demonstrates strong clarity in premise and central conflict, establishing a focused narrative direction for the short film.</t>
  </si>
  <si>
    <t>Cinematography: Develops a comprehensive pre-production plan with clear visual intent, including detailed shot division and lighting strategy.</t>
  </si>
  <si>
    <t>Editing: Demonstrates strong industry readiness with clear pre-production planning, rhythm mapping, and execution. Handles DIT workflow (data copying, backups, metadata, transcoding) with discipline and meets timelines consistently. Shows strong problem-solving and applies feedback effectively. Minor refinements needed in final sound or DI precision.</t>
  </si>
  <si>
    <t>Sound Design: Excellent skill in developing Sound Script and Sound Map; Manages Production Sound Recording very effectively</t>
  </si>
  <si>
    <t>Demonstrates strong compositing quality in visual effects, aligned with professional readiness and final output and executed with confidence.</t>
  </si>
  <si>
    <t>Direction: Shows a clear understanding of direction and storytelling, though consistency across the film can improve.</t>
  </si>
  <si>
    <t>Production: Demonstrates a strong ability to bring all course skills together into a cohesive and well-executed final production.</t>
  </si>
  <si>
    <t>Screenwriting: Shows good understanding of premise, though the central conflict requires sharper definition.</t>
  </si>
  <si>
    <t>Cinematography: Develops a structured pre-production plan, though some areas lack depth or detail.</t>
  </si>
  <si>
    <t>Editing: Shows good narrative understanding and editing capability. However, workflow discipline (metadata, backups, versioning) is inconsistent. Requires stronger adherence to timelines and structured processes.</t>
  </si>
  <si>
    <t>Sound Design: Demonstrates awareness of pre-production work of Sound Design; requires more attention in the execution of Sound Recording and Designing</t>
  </si>
  <si>
    <t>Shows good compositing quality in visual effects, aligned with professional readiness and final output, with room for stronger polish.</t>
  </si>
  <si>
    <t>Direction: Demonstrates a basic understanding of storytelling, though lacks a clear directorial voice.</t>
  </si>
  <si>
    <t>Screenwriting: Demonstrates basic understanding of premise, though the central idea lacks clarity and focus.</t>
  </si>
  <si>
    <t>Cinematography: Develops a basic pre-production plan, lacking detail in visual and technical planning.</t>
  </si>
  <si>
    <t>Editing: Shows basic editing ability but lacks consistency in workflow, data handling, and timelines. Problem-solving is limited when facing constraints.</t>
  </si>
  <si>
    <t>Sound Design: Basic capability in doing Sound Recording and Editing; lacks consistency and precision in Audio Mix and Mastering of a film</t>
  </si>
  <si>
    <t>Shows basic compositing quality in visual effects, though consistency against professional readiness and final output expectations needs improvement.</t>
  </si>
  <si>
    <t>Direction: Lacks a coherent directorial vision, with weak or unclear storytelling.</t>
  </si>
  <si>
    <t>Production: Significant gaps in foundational knowledge persist into the final semester, preventing the successful completion of a capstone-level project.</t>
  </si>
  <si>
    <t>Screenwriting: Shows limited understanding of premise, with no clear central conflict or narrative focus.</t>
  </si>
  <si>
    <t>Cinematography: Shows limited development of pre-production planning and visual strategy.</t>
  </si>
  <si>
    <t>Editing: Limited narrative clarity and editing control. Does not demonstrate readiness for industry-level work.</t>
  </si>
  <si>
    <t>Sound Design: Average level performance in Sound Design of a film; requires significant improvement in team collaboration and team spirit in a project</t>
  </si>
  <si>
    <t>Needs significant improvement in compositing quality in visual effects to meet professional readiness and final output expectations.</t>
  </si>
  <si>
    <t>Demonstrates strong originality, aligned with professional readiness and final output and executed with confidence.</t>
  </si>
  <si>
    <t>Shows good originality, aligned with professional readiness and final output, with room for stronger polish.</t>
  </si>
  <si>
    <t>Shows basic originality, though consistency against professional readiness and final output expectations needs improvement.</t>
  </si>
  <si>
    <t>Needs significant improvement in originality to meet professional readiness and final output expectations.</t>
  </si>
  <si>
    <t>Demonstrates strong technical control, aligned with professional readiness and final output and executed with confidence.</t>
  </si>
  <si>
    <t>Shows good technical control, aligned with professional readiness and final output, with room for stronger polish.</t>
  </si>
  <si>
    <t>Shows basic technical control, though consistency against professional readiness and final output expectations needs improvement.</t>
  </si>
  <si>
    <t>Needs significant improvement in technical control to meet professional readiness and final output expectations.</t>
  </si>
  <si>
    <t>Demonstrates strong responsibility, aligned with professional readiness and final output and executed with confidence.</t>
  </si>
  <si>
    <t>Shows good responsibility, aligned with professional readiness and final output, with room for stronger polish.</t>
  </si>
  <si>
    <t>Shows basic responsibility, though consistency against professional readiness and final output expectations needs improvement.</t>
  </si>
  <si>
    <t>Needs significant improvement in responsibility to meet professional readiness and final output expectations.</t>
  </si>
  <si>
    <t>Editing</t>
  </si>
  <si>
    <t>Screenwriting: Shows a clear understanding of story fundamentals, including premise, conflict, and character motivation, with effective application.</t>
  </si>
  <si>
    <t>Direction: Applies visual storytelling techniques (composition, camera angles, continuity) with clarity and purpose rather than imitation.</t>
  </si>
  <si>
    <t>Production: Demonstrates a sophisticated understanding of the brief, translating complex ideas into clear, semi-aligned outcomes with precision.</t>
  </si>
  <si>
    <t>Cinematography: Shows strong awareness of lensing and depth of field, using them purposefully to support visual storytelling.</t>
  </si>
  <si>
    <t>Sound Design: Demonstrates high-level clarity in Properties and Behaviour of Sound &amp; Aural Perception vs Microphone Behaviour.</t>
  </si>
  <si>
    <t>Editing: Shots are arranged meaningfully to create clear progression rather than just continuity. Good use of duration to shape viewer attention. Minor refinement needed in emotional layering.</t>
  </si>
  <si>
    <t>Screenwriting: Demonstrates familiarity with story fundamentals, but application of conflict and character motivation is inconsistent.</t>
  </si>
  <si>
    <t>Demonstrates working knowledge of visual storytelling techniques, but application lacks consistency.</t>
  </si>
  <si>
    <t>Production: Shows a clear understanding of the project goals, though the connection between concept and outcome could be more explicit.</t>
  </si>
  <si>
    <t>Cinematography: Shows awareness of lenses and depth of field, but application is not always fully controlled.</t>
  </si>
  <si>
    <t>Sound Design: Shows good understanding in Properties and Behaviour of Sound &amp; Aural Perception vs Microphone Behaviour.</t>
  </si>
  <si>
    <t>Editing: Maintains continuity well, but editing relies more on correctness than emotional shaping.</t>
  </si>
  <si>
    <t>Screenwriting: Shows partial understanding of story fundamentals, with weak or unclear conflict.</t>
  </si>
  <si>
    <t>Direction: Struggles to apply visual storytelling principles effectively, leading to unclear visual communication.</t>
  </si>
  <si>
    <t>Production: While the main components are present, the work lacks the precision required for a polished or professional finish.</t>
  </si>
  <si>
    <t>Cinematography: Limited use of lenses and depth of field, with minimal impact on visual storytelling.</t>
  </si>
  <si>
    <t>Sound Design: Basic understanding in Properties and Behaviour of Sound &amp; Aural Perception vs Microphone Behaviour.</t>
  </si>
  <si>
    <t>Editing: Shots are placed sequentially but do not build clear meaning or emotional flow.</t>
  </si>
  <si>
    <t>Screenwriting: Lacks understanding of basic story elements such as premise, conflict, and character.</t>
  </si>
  <si>
    <t>Direction: Unable to apply fundamental visual storytelling principles such as composition and continuity.</t>
  </si>
  <si>
    <t>Production: Execution is currently fragmented, with significant gaps in the production process that hinder a successful outcome.</t>
  </si>
  <si>
    <t>Cinematography: Little to no effective use of lenses or depth of field in shaping the image.</t>
  </si>
  <si>
    <t>Sound Design: Requires significant improvement in Properties and Behaviour of Sound &amp; Aural Perception vs Microphone Behaviour.</t>
  </si>
  <si>
    <t>Editing: Cuts are either purely functional or incorrect, breaking flow and understanding.</t>
  </si>
  <si>
    <t>Screenwriting: Demonstrates strong control over scene writing, with clear progression, conflict, and purpose in each scene.</t>
  </si>
  <si>
    <t>Direction: Works effectively with actors, guiding performances with clarity, consistency, and sensitivity to character.</t>
  </si>
  <si>
    <t>Production: Shows exceptional clarity in aligning Semester objectives with final outputs, ensuring every element serves the intended purpose.</t>
  </si>
  <si>
    <t>Cinematography: Controls rhythm, pace, and tempo effectively, enhancing the visual flow of the scene.</t>
  </si>
  <si>
    <t>Sound Design: Demonstrates high-level clarity in Characteristics and Applications of Different Microphones.</t>
  </si>
  <si>
    <t>Editing: Excellent dialogue editing and emotional rhythm. Montage connections are present but could be more conceptually layered; VFX integration is competent.</t>
  </si>
  <si>
    <t>Screenwriting: Demonstrates an understanding of scene construction, though progression and conflict need strengthening.</t>
  </si>
  <si>
    <t>Direction: Works with actors effectively in parts, but requires more control in maintaining performance continuity.</t>
  </si>
  <si>
    <t>Production: Execution is strong and reliable, though further refinement is needed to achieve a truly professional-grade finish.</t>
  </si>
  <si>
    <t>Cinematography: Maintains a sense of rhythm and pacing, though execution lacks consistency.</t>
  </si>
  <si>
    <t>Sound Design: Shows good understanding in Characteristics and Applications of Different Microphones.</t>
  </si>
  <si>
    <t>Editing: Good conceptual and visual linking in montage. Dialogue scenes lack clarity in continuity, pacing, and emotional shaping.</t>
  </si>
  <si>
    <t>Screenwriting: Scene writing is inconsistent, with unclear progression or purpose.</t>
  </si>
  <si>
    <t>Direction: Faces difficulty in directing actors, resulting in inconsistent or unclear performances.</t>
  </si>
  <si>
    <t>Production: Shows an understanding of the required tools, but the final execution lacks the precision needed for a high-quality finish.</t>
  </si>
  <si>
    <t>Cinematography: Struggles to maintain consistent rhythm, pace, and tempo.</t>
  </si>
  <si>
    <t>Sound Design: Basic capability in Characteristics and Applications of Different Microphones.</t>
  </si>
  <si>
    <t>Editing: Tries to build visual or conceptual links, but dialogue scenes and continuity are unclear.</t>
  </si>
  <si>
    <t>Screenwriting: Scene writing lacks structure, with no clear beginning, development, or resolution.</t>
  </si>
  <si>
    <t>Direction: Unable to direct actors effectively, leading to unclear or disengaged performances.</t>
  </si>
  <si>
    <t>Production: The execution of practical work is currently underdeveloped, requiring a more rigorous approach to meet basic production standards.</t>
  </si>
  <si>
    <t>Cinematography: Fails to control rhythm and pacing, affecting overall scene clarity.</t>
  </si>
  <si>
    <t>Sound Design: Requires significant improvement in Characteristics and Applications of Different Microphones.</t>
  </si>
  <si>
    <t>Editing: Frequent errors in spatial and temporal logic disrupt the entire sequence.</t>
  </si>
  <si>
    <t>Direction: Handles real-life material with sensitivity and clarity, though could push for more layered interpretation.</t>
  </si>
  <si>
    <t>Production: Demonstrates absolute control over technical tools, resulting in an execution that is both flawless and aesthetically superior.</t>
  </si>
  <si>
    <t>Screenwriting: Shows clear control over structure using frameworks such as the Fichtean Curve and Seven-Point Structure. Scenes are visually driven, with strong pre-visualisation and minimal reliance on exposition-heavy dialogue.</t>
  </si>
  <si>
    <t>Cinematography: Controls gimbal operation with confidence, maintaining stability, balance, and shot precision.</t>
  </si>
  <si>
    <t>Editing: Builds sequences with well-shaped filmic time and consistent rhythm. Sound-image relationships are effective, and documentary material is structured clearly. Minor refinements needed in technical finishing.</t>
  </si>
  <si>
    <t>Sound Design: Demonstrated strong execution in Production Sound Recording and Sound Editing skills</t>
  </si>
  <si>
    <t>Shows strong integration control in visual effects, aligned with interpretation and emerging craft ownership and executed with confidence.</t>
  </si>
  <si>
    <t>Direction: Engages with subject matter effectively, but lacks consistency in narrative focus.</t>
  </si>
  <si>
    <t>Production: Execution is strong and reliable; however, a higher degree of technical polish is required to reach a professional standard</t>
  </si>
  <si>
    <t>Screenwriting: Demonstrates familiarity with structural frameworks, though progression lacks precision in parts. Visual writing supports the narrative but could be more specific and cinematic.</t>
  </si>
  <si>
    <t>Cinematography: Handles gimbal operation adequately, with minor issues in balance or stability.</t>
  </si>
  <si>
    <t>Editing: Demonstrates sensitivity to rhythm and pacing. However, documentary material is not always shaped into a clear narrative. Technical execution is mostly consistent.</t>
  </si>
  <si>
    <t>Sound Design: Shows clarity of choices in Sound Effects and good technical skills in Production Sound Recording with more efficiency required in Music Design</t>
  </si>
  <si>
    <t>Demonstrates good integration control in visual effects, aligned with interpretation and emerging craft ownership, with room for stronger polish.</t>
  </si>
  <si>
    <t>Direction: Engagement with subject is inconsistent, affecting narrative depth.</t>
  </si>
  <si>
    <t>Production:While the project is functional, a lack of precision in the final details prevents the work from achieving a professional standard.</t>
  </si>
  <si>
    <t>Screenwriting: Attempts to apply structural frameworks, but narrative progression feels uneven or incomplete. Scenes rely heavily on dialogue rather than visual action.</t>
  </si>
  <si>
    <t>Cinematography: Struggles with gimbal operation, affecting stability and framing.</t>
  </si>
  <si>
    <t>Editing: Attempts to use rhythm, but visual and musical alignment is unclear. Narrative and documentary structuring are uneven.</t>
  </si>
  <si>
    <t>Sound Design: Average understanding of Sound Editing and Sound Fx Design; requires significant improvement in Production Sound Recording</t>
  </si>
  <si>
    <t>Demonstrates basic integration control in visual effects, though consistency against interpretation and emerging craft ownership expectations needs improvement.</t>
  </si>
  <si>
    <t>Direction: Fails to engage meaningfully with subject matter, resulting in weak narrative.</t>
  </si>
  <si>
    <t>Production: Practical execution remains underdeveloped, frequently failing to meet the basic technical standards required for this level.</t>
  </si>
  <si>
    <t>Screenwriting: Overall work reflects insufficient understanding of Semester III concepts, with significant gaps in narrative construction, dialogue, and visual storytelling.</t>
  </si>
  <si>
    <t>Cinematography: Is unable to manage gimbal operation effectively, resulting in unstable shots.</t>
  </si>
  <si>
    <t>Editing: Visual cuts do not relate to music or sound. Time construction is ineffective. Technical handling is minimal.</t>
  </si>
  <si>
    <t>Sound Design: Requires significant improvement in Production Sound Recording and Sound Fx Design</t>
  </si>
  <si>
    <t>Shows limited control over integration control in visual effects, and requires substantial improvement against interpretation and emerging craft ownership expectations.</t>
  </si>
  <si>
    <t>Direction: Executes the long planned sequence with precision and clarity, while refining pacing for greater dramatic tension.</t>
  </si>
  <si>
    <t>Production: Exhibits a superior command over specialized tools, delivering execution that is both technically flawless and aesthetically refined.</t>
  </si>
  <si>
    <t>Screenwriting: Constructs scenes with precise control of dramatic tension, using pacing, retardation, and subtext to sustain engagement.</t>
  </si>
  <si>
    <t>Cinematography: Maintains precise and consistent focus using wireless systems, demonstrating strong technical control.</t>
  </si>
  <si>
    <t>Editing: Accurately interprets blocking, staging, and movement, maintaining spatial clarity across complex scenes. Uses axial and tonal cutting effectively to shape meaning. Demonstrates disciplined DIT workflow and clean audio/visual handoffs.</t>
  </si>
  <si>
    <t>Sound Design: Demonstrates good understanding of concepts of Digital Audio Workstations; achieved efficiency in handling Production Sound and Sound Editing</t>
  </si>
  <si>
    <t>Shows strong integration control in visual effects, aligned with craft control and execution and executed with confidence.</t>
  </si>
  <si>
    <t>Direction: Attempts the long planned sequence effectively, but requires tighter blocking and rehearsal.</t>
  </si>
  <si>
    <t>Production: Execution is strong and dependable; however, minor technical refinements are needed to reach a seamless, industry-standard finish.</t>
  </si>
  <si>
    <t>Screenwriting: Demonstrates awareness of dramatic tension and pacing, though rhythm and escalation require refinement.</t>
  </si>
  <si>
    <t>Cinematography: Maintains focus using wireless systems, with minor inconsistencies.</t>
  </si>
  <si>
    <t>Editing: Demonstrates sensitivity to rhythm and music. Struggles with spatial reversals or axial relationships. Data handling and exports are mostly correct.</t>
  </si>
  <si>
    <t>Sound Design: Displays good skills of Sound Editing and Music Design with scope of refinement in Production Sound Recording</t>
  </si>
  <si>
    <t>Demonstrates good integration control in visual effects, aligned with craft control and execution, with room for stronger polish.</t>
  </si>
  <si>
    <t>Direction: Attempts a long sequence, but execution suffers due to weak blocking and coordination.</t>
  </si>
  <si>
    <t>Production: Shows a foundational understanding of the tools, but inconsistencies in the final execution prevent a polished, high-quality result.</t>
  </si>
  <si>
    <t>Screenwriting: Attempts to create dramatic tension, but pacing and rhythm are uneven and lack control.</t>
  </si>
  <si>
    <t>Cinematography: Struggles to maintain consistent focus using wireless systems.</t>
  </si>
  <si>
    <t>Editing: Editing does not effectively shape time. Limited understanding of tonal or sensory cutting. Transcoding and media handling lack clarity.</t>
  </si>
  <si>
    <t>Sound Design: Basic capability in doing Dubbing and Sound Editing; needs more proficiency in Production Sound Recording</t>
  </si>
  <si>
    <t>Demonstrates basic integration control in visual effects, though consistency against craft control and execution expectations needs improvement.</t>
  </si>
  <si>
    <t>Direction: Long planned sequence is ineffective due to inadequate planning and execution.</t>
  </si>
  <si>
    <t>Production: The final execution lacks the necessary technical foundation, resulting in outcomes that fall below the expected benchmark.</t>
  </si>
  <si>
    <t>Screenwriting: Fails to establish dramatic tension; scenes lack pacing, conflict, and engagement.</t>
  </si>
  <si>
    <t>Cinematography: Fails to maintain focus using wireless systems, affecting image clarity.</t>
  </si>
  <si>
    <t>Editing: Editing lacks sense of time, rhythm, or emotional progression.</t>
  </si>
  <si>
    <t>Sound Design: Requires significant improvement in Sound Editing and Sound Fx Design</t>
  </si>
  <si>
    <t>Shows limited control over integration control in visual effects, and requires substantial improvement against craft control and execution expectations.</t>
  </si>
  <si>
    <t>Direction: Effectively directs for long-form storytelling, though pacing between episodes can be tightened for stronger engagement.</t>
  </si>
  <si>
    <t>Production: Achieves a rare level of clarity in complex outcomes, ensuring that every production detail aligns perfectly with the intended message.</t>
  </si>
  <si>
    <t>Screenwriting: Applies adaptation with clear intertextual awareness, transforming source material through reinterpretation of theme, character, and context rather than direct replication.</t>
  </si>
  <si>
    <t>Cinematography: Maintains precise focus using wireless systems, even in dynamic and complex shooting conditions.</t>
  </si>
  <si>
    <t>Editing: Builds genre tone through precise control of rhythm, pacing, and emotional progression. Uses montage and signification thoughtfully. Workflow, including DIT processes and exports, is consistent and reliable.</t>
  </si>
  <si>
    <t>Sound Design: Executes Music and Foley Recording with great efficiency</t>
  </si>
  <si>
    <t>Shows strong integration control in visual effects, aligned with advanced workflow and collaboration and executed with confidence.</t>
  </si>
  <si>
    <t>Direction: Attempts multi-episode storytelling effectively, but character arcs need stronger continuity.</t>
  </si>
  <si>
    <t>Production: Shows a clear purpose behind production choices, though further refinement would help more tightly align execution with the core intent.</t>
  </si>
  <si>
    <t>Screenwriting: Demonstrates awareness of adaptation, though reinterpretation remains close to the source and lacks deeper transformation.</t>
  </si>
  <si>
    <t>Cinematography: Maintains focus in most situations, with minor inconsistencies during complex shots.</t>
  </si>
  <si>
    <t>Editing: Demonstrates control over pacing and tension. Character POV and relational dynamics need further development.</t>
  </si>
  <si>
    <t>Sound Design: Displays strong skills in independently handling Dubbing and Foley recording; requires betterment in executing Music recording</t>
  </si>
  <si>
    <t>Demonstrates good integration control in visual effects, aligned with advanced workflow and collaboration, with room for stronger polish.</t>
  </si>
  <si>
    <t>Direction: Attempts series structure, but episodes feel disconnected in tone and narrative.</t>
  </si>
  <si>
    <t>Production: Shows an understanding of advanced tools, but inconsistencies in the final execution prevent the work from reaching a professional polish.</t>
  </si>
  <si>
    <t>Screenwriting: Adaptation attempts are evident, but lack critical engagement, resulting in surface-level interpretation.</t>
  </si>
  <si>
    <t>Cinematography: Struggles to maintain consistent focus in dynamic shooting conditions.</t>
  </si>
  <si>
    <t>Editing: Scenes exist but lack clear progression or macro structure. Editing feels episodic without cohesion.</t>
  </si>
  <si>
    <t>Sound Design: Displays basic skills in Dubbing and Foley recording; needs more improvement in Music Recording</t>
  </si>
  <si>
    <t>Demonstrates basic integration control in visual effects, though consistency against advanced workflow and collaboration expectations needs improvement.</t>
  </si>
  <si>
    <t>Direction: Episodes are disjointed, failing to establish continuity or progression.</t>
  </si>
  <si>
    <t>Production: The practical execution of work is currently below the required standard, lacking the basic stability needed for specialized outcomes.</t>
  </si>
  <si>
    <t>Screenwriting: Fails to meaningfully adapt source material, with little evidence of interpretation.</t>
  </si>
  <si>
    <t>Cinematography: Fails to maintain focus during complex shots, affecting image clarity.</t>
  </si>
  <si>
    <t>Editing: Scenes lack pacing, rhythm, and tension-building strategies.</t>
  </si>
  <si>
    <t>Sound Design: Requires significant improvement in Audio Signal Processing and Audio Mixing and Mastering</t>
  </si>
  <si>
    <t>Shows limited control over integration control in visual effects, and requires substantial improvement against advanced workflow and collaboration expectations.</t>
  </si>
  <si>
    <t>Direction: Creates an emotionally engaging narrative, though finer control of pacing could enhance impact.</t>
  </si>
  <si>
    <t>Production: Displays absolute executive control over the production process, navigating the final semester's complexities with precision and ease.</t>
  </si>
  <si>
    <t>Screenwriting: Constructs a well-paced 20-minute script, with precise beat structuring, scene progression, and control over narrative rhythm.</t>
  </si>
  <si>
    <t>Cinematography: Constructs thoughtful lighting and composition treatments that align strongly with narrative goals.</t>
  </si>
  <si>
    <t>Editing: Exhibits confident editing decisions with strong control over pacing, tension, and performance. Adapts well to feedback and production constraints. Workflow and delivery are reliable, though trailer construction and promotional thinking require further depth.</t>
  </si>
  <si>
    <t>Sound Design: Develops a comprehensive pre-production plan with a clear understanding of the Sound Design of any project; extremely skilled in Sound Editing</t>
  </si>
  <si>
    <t>Shows strong integration control in visual effects, aligned with professional readiness and final output and executed with confidence.</t>
  </si>
  <si>
    <t>Direction: Engages the audience in parts, but emotional impact is uneven.</t>
  </si>
  <si>
    <t>Production: Shows a high level of technical proficiency; the final outcome is robust, requiring only minor refinements to meet a premium industry finish.</t>
  </si>
  <si>
    <t>Screenwriting: Develops a structured short film script, though pacing and scene progression require refinement.</t>
  </si>
  <si>
    <t>Cinematography: Constructs lighting and composition approaches that support the narrative, though refinement is needed.</t>
  </si>
  <si>
    <t>Editing: Demonstrates creative editing and some strong moments of rhythm and tension. Problem-solving is present but inconsistent under pressure. Feedback is partially applied.</t>
  </si>
  <si>
    <t>Sound Design: Displays strong ability in Sound Recording and Design; requires more attention in pre-production stage in making Sound Designing strategy of a film</t>
  </si>
  <si>
    <t>Demonstrates good integration control in visual effects, aligned with professional readiness and final output, with room for stronger polish.</t>
  </si>
  <si>
    <t>Direction: Emotional engagement is limited, with uneven narrative development.</t>
  </si>
  <si>
    <t>Production: Basic technical requirements are met, but inconsistencies in the final execution prevent the work from achieving a high-level, industry-standard finish.</t>
  </si>
  <si>
    <t>Screenwriting: Attempts short film scripting, but structure and progression are inconsistent.</t>
  </si>
  <si>
    <t>Cinematography: Applies lighting and composition concepts, though alignment with narrative is inconsistent.</t>
  </si>
  <si>
    <t>Editing: Demonstrates partial understanding of narrative and rhythm. Feedback is not consistently applied, affecting overall improvement.</t>
  </si>
  <si>
    <t>Sound Design: Basic capability in doing Audio and Mastering; lacks consistency and precision in Sound Recording and Editing of a film</t>
  </si>
  <si>
    <t>Demonstrates basic integration control in visual effects, though consistency against professional readiness and final output expectations needs improvement.</t>
  </si>
  <si>
    <t>Direction: Fails to engage emotionally or narratively with the audience.</t>
  </si>
  <si>
    <t>Production: The final production falls significantly short of the required technical standard, showing a lack of the practical discipline expected of a graduate.</t>
  </si>
  <si>
    <t>Screenwriting: Short film script lacks structure, with no clear progression or resolution.</t>
  </si>
  <si>
    <t>Cinematography: Applies lighting and composition without clear narrative alignment.</t>
  </si>
  <si>
    <t>Editing: Struggles with pacing, rhythm, and emotional shaping. Editing lacks intentionality.</t>
  </si>
  <si>
    <t>Sound Design: Requires significant improvement in Prodcution Sound Recording and all Sound Post Production works in a film</t>
  </si>
  <si>
    <t>Shows limited control over integration control in visual effects, and requires substantial improvement against professional readiness and final output expectations.</t>
  </si>
  <si>
    <t>Shows strong creative voice, aligned with professional readiness and final output and executed with confidence.</t>
  </si>
  <si>
    <t>Demonstrates good creative voice, aligned with professional readiness and final output, with room for stronger polish.</t>
  </si>
  <si>
    <t>Demonstrates basic creative voice, though consistency against professional readiness and final output expectations needs improvement.</t>
  </si>
  <si>
    <t>Shows limited control over creative voice, and requires substantial improvement against professional readiness and final output expectations.</t>
  </si>
  <si>
    <t>Shows strong process accuracy, aligned with professional readiness and final output and executed with confidence.</t>
  </si>
  <si>
    <t>Demonstrates good process accuracy, aligned with professional readiness and final output, with room for stronger polish.</t>
  </si>
  <si>
    <t>Demonstrates basic process accuracy, though consistency against professional readiness and final output expectations needs improvement.</t>
  </si>
  <si>
    <t>Shows limited control over process accuracy, and requires substantial improvement against professional readiness and final output expectations.</t>
  </si>
  <si>
    <t>Shows strong reliability, aligned with professional readiness and final output and executed with confidence.</t>
  </si>
  <si>
    <t>Demonstrates good reliability, aligned with professional readiness and final output, with room for stronger polish.</t>
  </si>
  <si>
    <t>Demonstrates basic reliability, though consistency against professional readiness and final output expectations needs improvement.</t>
  </si>
  <si>
    <t>Shows limited control over reliability, and requires substantial improvement against professional readiness and final output expectations.</t>
  </si>
  <si>
    <t>Sound Design</t>
  </si>
  <si>
    <t>Screenwriting: Writes with clarity and visual awareness, translating ideas into scenes that are cinematic and engaging.</t>
  </si>
  <si>
    <t>Direction: Effectively translates real-world observations into structured visual narratives with originality and insight.</t>
  </si>
  <si>
    <t>Production: Every production choice is backed by strong intent, showing a purposeful connection between the initial concept and the final result.</t>
  </si>
  <si>
    <t>Cinematography: Camera angles and composition are used thoughtfully, enhancing clarity and engagement in the frame.</t>
  </si>
  <si>
    <t>Sound Design: Demonstrates high-level clarity in Audio-Visual Relationships &amp; Spatial and Temporal Relationships of Sound.</t>
  </si>
  <si>
    <t>Editing: Editing choices prioritise emotion through pauses and shot duration. Some continuity mismatches are present but do not disrupt overall impact.</t>
  </si>
  <si>
    <t>Screenwriting: Writes with basic clarity, though scenes lack strong visual or cinematic detail.</t>
  </si>
  <si>
    <t>Direction: Engages with observational exercises, though translation into compelling visual narratives needs refinement.</t>
  </si>
  <si>
    <t>Production: Execution is generally strong, though some areas would benefit from more rigorous quality control and attention to detail.</t>
  </si>
  <si>
    <t>Cinematography: Composition and camera angles are effective in parts, but lack consistency across shots.</t>
  </si>
  <si>
    <t>Sound Design: Shows good understanding in Audio-Visual Relationships &amp; Spatial and Temporal Relationships of Sound.</t>
  </si>
  <si>
    <t>Editing: Shows understanding of sequencing shots for meaning. Some moments feel mechanical or lack clear emotional intention.</t>
  </si>
  <si>
    <t>Screenwriting: Writing lacks visual clarity, making it difficult to translate ideas into cinematic scenes.</t>
  </si>
  <si>
    <t>Direction: Observational exercises lack clarity and are not effectively developed into structured visual narratives.</t>
  </si>
  <si>
    <t>Production: Demonstrates the ability to complete tasks, but the quality of output fluctuates significantly across different stages.</t>
  </si>
  <si>
    <t>Cinematography: Composition and framing appear functional rather than intentional.</t>
  </si>
  <si>
    <t>Sound Design: Basic understanding in Audio-Visual Relationships &amp; Spatial and Temporal Relationships of Sound.</t>
  </si>
  <si>
    <t>Editing: Some variation in shots, but choices do not clearly support storytelling or viewer focus.</t>
  </si>
  <si>
    <t>Screenwriting: Writing is unclear and lacks cinematic quality, making it difficult to interpret as a screenplay.</t>
  </si>
  <si>
    <t>Direction: Does not engage meaningfully with observational exercises or fails to translate them into narrative form.</t>
  </si>
  <si>
    <t>Production: Frequent technical errors are present, suggesting a need for intensive practice with the basic tools and techniques.</t>
  </si>
  <si>
    <t>Cinematography: Composition and framing lack structure and do not guide viewer attention.</t>
  </si>
  <si>
    <t>Sound Design: Requires significant improvement in Audio-Visual Relationships &amp; Spatial and Temporal Relationships of Sound.</t>
  </si>
  <si>
    <t>Editing: Shot timing is ineffective, making the edit feel rushed or stagnant.</t>
  </si>
  <si>
    <t>Screenwriting: Applies advanced story structures (Hero’s Journey / Story Circle) effectively to build engaging narratives.</t>
  </si>
  <si>
    <t>Direction: Shows a nuanced understanding of scene construction, integrating performance, blocking, and visual elements cohesively.</t>
  </si>
  <si>
    <t>Production: Execution is of a professional standard, characterized by meticulous attention to detail and a refined technical finish.</t>
  </si>
  <si>
    <t>Cinematography: Constructs well-planned camera movements that support narrative progression.</t>
  </si>
  <si>
    <t>Sound Design: Demonstrates high-level control and clarity in Different Audio Devices used in Sound Production.</t>
  </si>
  <si>
    <t>Editing: Strong montage thinking with clear thematic links. Dialogue scenes are effective but can improve in continuity precision and pacing control.</t>
  </si>
  <si>
    <t>Screenwriting: Applies story structures appropriately, but narratives lack depth or originality.</t>
  </si>
  <si>
    <t>Direction: Demonstrates an understanding of scene construction, though integration of elements needs refinement.</t>
  </si>
  <si>
    <t>Production: Shows good alignment between project objectives and the final product, with minor gaps where intent could be clearer.</t>
  </si>
  <si>
    <t>Cinematography: Attempts to plan camera movement, but alignment with the scene can be improved.</t>
  </si>
  <si>
    <t>Sound Design: Shows good understanding and execution in Different Audio Devices used in Sound Production.</t>
  </si>
  <si>
    <t>Editing: Clean edits and functional VFX work. Emotional depth through timing, pauses, and reactions is limited.</t>
  </si>
  <si>
    <t>Screenwriting: Shows limited understanding of story structures, resulting in weak narrative flow.</t>
  </si>
  <si>
    <t>Direction: Scene construction lacks cohesion, with weak integration of visual and performance elements.</t>
  </si>
  <si>
    <t>Production: Production output is variable; maintaining a steady level of quality across all Semester modules remains a key area for growth.</t>
  </si>
  <si>
    <t>Cinematography: Lacks clear planning in camera movement, resulting in weak visual progression.</t>
  </si>
  <si>
    <t>Sound Design: Basic capability in Different Audio Devices used in Sound Production.</t>
  </si>
  <si>
    <t>Editing: Some moments work, but overall timing is uneven, affecting engagement and emotional flow.</t>
  </si>
  <si>
    <t>Screenwriting: Does not demonstrate understanding of story structures or narrative progression.</t>
  </si>
  <si>
    <t>Direction: Scene construction lacks coherence, with no integration of visual and performance elements.</t>
  </si>
  <si>
    <t>Production: Struggles with the technical requirements of the semester, often resulting in incomplete or inaccurate outcomes.</t>
  </si>
  <si>
    <t>Cinematography: Does not establish a clear plan for camera movement.</t>
  </si>
  <si>
    <t>Sound Design: Requires significant improvement in Different Audio Devices used in Sound Production.</t>
  </si>
  <si>
    <t>Editing: Lack of rhythm; scenes feel rushed or unnecessarily prolonged.</t>
  </si>
  <si>
    <t>Direction: Structures the narrative effectively, with scope to refine pacing for greater emotional impact.</t>
  </si>
  <si>
    <t>Production: Every production element is underpinned by a profound sense of intent, reflecting a high-level conceptual maturity.</t>
  </si>
  <si>
    <t>Screenwriting: Integrates theme and premise seamlessly into scene construction, with each beat contributing to both narrative and character progression. Subtext is consistently present, with underlying conflict shaping interactions.</t>
  </si>
  <si>
    <t>Cinematography: Demonstrates strong focus pulling skills, maintaining accuracy and consistency across shots.</t>
  </si>
  <si>
    <t>Editing: Editing shows strong musical sensitivity, with visual rhythm supporting narrative flow. Material is well interpreted and shaped. Workflow is efficient, though minor inconsistencies appear in output quality.</t>
  </si>
  <si>
    <t>Sound Design: Demonstrated strong execution in Production Sound Recording and Music Designing skills</t>
  </si>
  <si>
    <t>Exhibits strong technical finish in visual effects, aligned with interpretation and emerging craft ownership and executed with confidence.</t>
  </si>
  <si>
    <t>Direction: Demonstrates basic structure, though pacing fluctuates across the film.</t>
  </si>
  <si>
    <t>Production: Shows clear intent in production choices, though the connection between concept and final execution could be more tightly woven.</t>
  </si>
  <si>
    <t>Screenwriting: Overall work is competent and structured, with clear scope for strengthening integration between narrative theory, structure, and expressive writing techniques.</t>
  </si>
  <si>
    <t>Cinematography: Maintains focus in most situations, though consistency needs improvement.</t>
  </si>
  <si>
    <t>Editing: Workflows in Avid Media Composer are efficient and output is clean. Filmic time feels mechanical rather than intentionally structured.</t>
  </si>
  <si>
    <t>Sound Design: Shows confidence in handling Production Sound Recording; requires improvement in creative choices in Sound Editing</t>
  </si>
  <si>
    <t>Displays good technical finish in visual effects, aligned with interpretation and emerging craft ownership, with room for stronger polish.</t>
  </si>
  <si>
    <t>Direction: Lacks a strong structure, resulting in uneven progression.</t>
  </si>
  <si>
    <t>Production: Shows intermittent success in production; however, maintaining a high standard across all Sem outcomes remains a challenge.</t>
  </si>
  <si>
    <t>Screenwriting: Theme and premise are underdeveloped, with limited influence on narrative direction. Subtext is minimal, with most interactions operating at a literal level.</t>
  </si>
  <si>
    <t>Cinematography: Maintains inconsistent focus, with noticeable errors during execution.</t>
  </si>
  <si>
    <t>Editing: Struggles to interpret and organise raw material. Filmic time and pacing feel inconsistent. Technical workflow is basic.</t>
  </si>
  <si>
    <t>Sound Design: Average skills developed in Sound Editing and Music Design; requres significant improvement in Sound Fx Design</t>
  </si>
  <si>
    <t>Indicates basic technical finish in visual effects, though consistency against interpretation and emerging craft ownership expectations needs improvement.</t>
  </si>
  <si>
    <t>Direction: Structure is absent or unclear, affecting overall comprehension.</t>
  </si>
  <si>
    <t>Production: Struggles to align technical outputs with the semester’s objectives, resulting in work that lacks direction and purpose.</t>
  </si>
  <si>
    <t>Screenwriting: Fails to apply basic structural frameworks, resulting in disjointed or incomplete narrative progression. Scenes lack coherence.</t>
  </si>
  <si>
    <t>Cinematography: Fails to maintain focus, significantly affecting image clarity.</t>
  </si>
  <si>
    <t>Editing: Scenes feel random in duration and progression. Documentary material is not shaped meaningfully.</t>
  </si>
  <si>
    <t>Sound Design: Requires significant improvement in Production Sound Recording and Sound Editing</t>
  </si>
  <si>
    <t>Requires significant improvement in technical finish in visual effects to meet interpretation and emerging craft ownership expectations.</t>
  </si>
  <si>
    <t>Production: Shows profound clarity in aligning Semester outcomes with professional intent, ensuring every production choice is purposeful.</t>
  </si>
  <si>
    <t>Screenwriting: Applies complex narrative structures, including non-linear timelines and ellipsis, with clarity and coherence.</t>
  </si>
  <si>
    <t>Cinematography: Coordinates effectively within a multi-camera setup, ensuring visual consistency across angles.</t>
  </si>
  <si>
    <t>Editing: Enhances performances through precise timing and shot selection, including effective handling of spatial reversals. Strong alignment of visual rhythm with sound and music. DIT processes and transcoding workflows are well managed.</t>
  </si>
  <si>
    <t>Sound Design: Demonstrates excellent aptitude in Music Design; achieved efficiency in handling Production Sound and Sound Editing</t>
  </si>
  <si>
    <t>Exhibits strong technical finish in visual effects, aligned with craft control and execution and executed with confidence.</t>
  </si>
  <si>
    <t>Direction: Coordinates departments well, though integration with narrative intent can be stronger.</t>
  </si>
  <si>
    <t>Production: Shows clear and deliberate intent in all production phases, though some choices would benefit from deeper critical justification.</t>
  </si>
  <si>
    <t>Screenwriting: Uses non-linear elements such as ellipsis or reverse chronology, though transitions can be unclear.</t>
  </si>
  <si>
    <t>Cinematography: Works within multi-camera setups with basic coordination, though consistency can improve.</t>
  </si>
  <si>
    <t>Editing: Handles data copying, backups, and transcoding reliably. Editing remains functional, with limited use of tonal contrast or sensory cutting.</t>
  </si>
  <si>
    <t>Sound Design: Shows good understanding of concepts of Digital Audio and Sequence Analysis; requires betterment in Sound Editing and Music Design skills</t>
  </si>
  <si>
    <t>Displays good technical finish in visual effects, aligned with craft control and execution, with room for stronger polish.</t>
  </si>
  <si>
    <t>Direction: Limited integration between departments, affecting overall narrative cohesion.</t>
  </si>
  <si>
    <t>Production: While outcomes are functional, the quality is variable, suggesting a need for more consistent control throughout the production cycle.</t>
  </si>
  <si>
    <t>Screenwriting: Use of non-linear storytelling is unclear, affecting narrative coherence.</t>
  </si>
  <si>
    <t>Cinematography: Shows limited coordination in multi-camera setups, leading to inconsistencies.</t>
  </si>
  <si>
    <t>Editing: Attempts to shape performance but lacks control over timing and shot choice. Take selection appears inconsistent.</t>
  </si>
  <si>
    <t>Sound Design: Basic understanding of the concepts of Digital Audio; needs to significantly improve performances in Sound Editing and Music Design</t>
  </si>
  <si>
    <t>Indicates basic technical finish in visual effects, though consistency against craft control and execution expectations needs improvement.</t>
  </si>
  <si>
    <t>Direction: Fails to coordinate departments, resulting in a disjointed narrative.</t>
  </si>
  <si>
    <t>Production: Struggles to apply Semester tools correctly, leading to production errors that compromise the integrity of the project.</t>
  </si>
  <si>
    <t>Screenwriting: Non-linear elements are misapplied or absent, resulting in disjointed storytelling.</t>
  </si>
  <si>
    <t>Cinematography: Is unable to coordinate effectively in a multi-camera setup.</t>
  </si>
  <si>
    <t>Editing: Editing does not enhance performances. Take selection lacks purpose.</t>
  </si>
  <si>
    <t>Requires significant improvement in technical finish in visual effects to meet craft control and execution expectations.</t>
  </si>
  <si>
    <t>Direction: Integrates narrative arcs and character progression seamlessly, with scope to deepen subtextual layering.</t>
  </si>
  <si>
    <t>Production: Execution is authoritative and precise, reflecting a deep-seated mastery of advanced workflows and industry-standard finishing.</t>
  </si>
  <si>
    <t>Screenwriting: Engages real-life events with narrative depth and ethical sensitivity, balancing factual grounding with dramatic construction and character perspective.</t>
  </si>
  <si>
    <t>Cinematography: Demonstrates a clear understanding of cinematographic styles and applies them effectively in practice.0</t>
  </si>
  <si>
    <t>Editing: Goes beyond footage to construct layered meaning through juxtaposition and narrative restructuring. Demonstrates strong POV control and character dynamics. VFX, graphics, and sound are integrated effectively within a structured pipeline.</t>
  </si>
  <si>
    <t>Sound Design: Executes Music and Dubbing works with great efficiency</t>
  </si>
  <si>
    <t>Exhibits strong technical finish in visual effects, aligned with advanced workflow and collaboration and executed with confidence.</t>
  </si>
  <si>
    <t>Direction: Demonstrates awareness of VOD format, though audience engagement strategies can improve.</t>
  </si>
  <si>
    <t>Production: Displays a good ability to execute complex tasks analytically, ensuring that outcomes meet the high standards of the semester.</t>
  </si>
  <si>
    <t>Screenwriting: Engages with real-life material, though ethical framing and narrative perspective require further development.</t>
  </si>
  <si>
    <t>Cinematography: Shows understanding of different cinematography styles, though application can be more refined.</t>
  </si>
  <si>
    <t>Editing: Handles data, metadata, and pipeline processes efficiently. Editing remains safe, with limited experimentation in form or meaning.</t>
  </si>
  <si>
    <t>Sound Design: Demonstrates proficiency in Sound Editing with scope of refinement in aesthetic sense in Sound Design</t>
  </si>
  <si>
    <t>Displays good technical finish in visual effects, aligned with advanced workflow and collaboration, with room for stronger polish.</t>
  </si>
  <si>
    <t>Direction: Character development is inconsistent, affecting overall engagement.</t>
  </si>
  <si>
    <t>Production: Production quality fluctuates; a more stable and consistent approach is needed to handle the heightened complexity of the semester.</t>
  </si>
  <si>
    <t>Screenwriting: Engagement with real-life events is superficial, with limited consideration of ethical or narrative positioning.</t>
  </si>
  <si>
    <t>Editing: Limited ability to create meaning beyond literal continuity. Juxtaposition lacks clarity.</t>
  </si>
  <si>
    <t>Indicates basic technical finish in visual effects, though consistency against advanced workflow and collaboration expectations needs improvement.</t>
  </si>
  <si>
    <t>Direction: Character arcs are unclear or absent, reducing audience engagement.</t>
  </si>
  <si>
    <t>Production: Struggles to communicate a clear purpose through production, resulting in outcomes that feel disjointed and lacking in intent.</t>
  </si>
  <si>
    <t>Screenwriting: Real-life narratives lack clarity, with no evident ethical consideration or narrative framing.</t>
  </si>
  <si>
    <t>Cinematography: Shows little understanding of cinematography styles.</t>
  </si>
  <si>
    <t>Editing: Editing remains literal; no attempt to construct deeper meaning through montage.</t>
  </si>
  <si>
    <t>Sound Design: Needs to develop the understanding of the process of Audio Mix and the application of Signal Processors</t>
  </si>
  <si>
    <t>Requires significant improvement in technical finish in visual effects to meet advanced workflow and collaboration expectations.</t>
  </si>
  <si>
    <t>Direction: Integrates mise-en-scène effectively, with scope to deepen symbolic and thematic layering.</t>
  </si>
  <si>
    <t>Production: Every production choice is underpinned by a profound and sophisticated intent, reflecting a high level of creative and intellectual maturity.</t>
  </si>
  <si>
    <t>Screenwriting: Demonstrates critical comparative analysis of a screenwriter’s work, identifying differences in voice, structure, and thematic concerns.</t>
  </si>
  <si>
    <t>Cinematography: Demonstrates strong ownership of the visual language across the graduation project.</t>
  </si>
  <si>
    <t>Editing: Shows strong narrative construction and collaboration with director/producer. Problem-solving is evident during on-set and post challenges. Technical competency is solid, though workflow consistency and versioning can improve.</t>
  </si>
  <si>
    <t>Sound Design: Constructs thoughtful ideas about Sound Deign in a film; efficient in handling all Sound Post works</t>
  </si>
  <si>
    <t>Exhibits strong technical finish in visual effects, aligned with professional readiness and final output and executed with confidence.</t>
  </si>
  <si>
    <t>Direction: Uses mise-en-scène effectively in moments, though not fully integrated throughout.</t>
  </si>
  <si>
    <t>Production: Production choices are deliberate and well-considered, showing a clear connection between the final outcome and the original project goals.</t>
  </si>
  <si>
    <t>Screenwriting: Engages with screenwriter study, though comparative analysis remains surface-level.</t>
  </si>
  <si>
    <t>Cinematography: Shows clear visual intent in the project, though consistency can be improved.</t>
  </si>
  <si>
    <t>Editing: Technically capable with basic workflow understanding. Editing decisions remain safe, with limited exploration of meaning or structure. Needs more initiative in creative problem-solving.</t>
  </si>
  <si>
    <t>Sound Design: Displays strong ability in Sound Recording and Design; requires more attention in executing Audio Mix and Mastering process in a film</t>
  </si>
  <si>
    <t>Displays good technical finish in visual effects, aligned with professional readiness and final output, with room for stronger polish.</t>
  </si>
  <si>
    <t>Direction: Mise-en-scène is functional but lacks purpose and cohesion.</t>
  </si>
  <si>
    <t>Production: The production is functional, but lacks the consistent control needed to handle the multifaceted demands of a final-semester project.</t>
  </si>
  <si>
    <t>Screenwriting: Author study is descriptive, with minimal comparative or analytical insight.</t>
  </si>
  <si>
    <t>Cinematography: Shows some visual intent, but lacks consistency across the project.</t>
  </si>
  <si>
    <t>Editing: Technical competency is developing, but errors in media management, exports, and pipeline affect output quality.</t>
  </si>
  <si>
    <t>Sound Design: Basic capability in making a pre-production planning of Sound Design for a project; lacks technical proficiency in all aspects of Sound Design</t>
  </si>
  <si>
    <t>Indicates basic technical finish in visual effects, though consistency against professional readiness and final output expectations needs improvement.</t>
  </si>
  <si>
    <t>Direction: Mise-en-scène is poorly developed or inconsistent.</t>
  </si>
  <si>
    <t>Production: Struggles to manage the technical complexities of the final semester, resulting in an outcome that is underdeveloped and lacks professional finish.</t>
  </si>
  <si>
    <t>Screenwriting: Author study lacks analysis, with no meaningful comparison of works.</t>
  </si>
  <si>
    <t>Cinematography: Lacks consistency and clarity in visual execution across the project.</t>
  </si>
  <si>
    <t>Editing: Poor data handling and DIT practices affect workflow and output reliability.</t>
  </si>
  <si>
    <t>Sound Design: Requires significant improvement in Audio Mix and Mastering in a film; needs to have better judgement of recording quality of Production Sound</t>
  </si>
  <si>
    <t>Requires significant improvement in technical finish in visual effects to meet professional readiness and final output expectations.</t>
  </si>
  <si>
    <t>Exhibits strong narrative sensitivity, aligned with professional readiness and final output and executed with confidence.</t>
  </si>
  <si>
    <t>Displays good narrative sensitivity, aligned with professional readiness and final output, with room for stronger polish.</t>
  </si>
  <si>
    <t>Requires significant improvement in narrative sensitivity to meet professional readiness and final output expectations.</t>
  </si>
  <si>
    <t>Exhibits strong workflow discipline, aligned with professional readiness and final output and executed with confidence.</t>
  </si>
  <si>
    <t>Displays good workflow discipline, aligned with professional readiness and final output, with room for stronger polish.</t>
  </si>
  <si>
    <t>Indicates basic workflow discipline, though consistency against professional readiness and final output expectations needs improvement.</t>
  </si>
  <si>
    <t>Requires significant improvement in workflow discipline to meet professional readiness and final output expectations.</t>
  </si>
  <si>
    <t>Exhibits strong team conduct, aligned with professional readiness and final output and executed with confidence.</t>
  </si>
  <si>
    <t>Displays good team conduct, aligned with professional readiness and final output, with room for stronger polish.</t>
  </si>
  <si>
    <t>Indicates basic team conduct, though consistency against professional readiness and final output expectations needs improvement.</t>
  </si>
  <si>
    <t>Requires significant improvement in team conduct to meet professional readiness and final output expectations.</t>
  </si>
  <si>
    <t>VFX</t>
  </si>
  <si>
    <t>Screenwriting: Demonstrates strong control over basic story structure, creating coherent narratives using the three-act framework.</t>
  </si>
  <si>
    <t>Production: High-level execution is evident throughout the project; the work is finished to a superior standard with meticulous attention to detail.</t>
  </si>
  <si>
    <t>Cinematography: Displays consistent technical control across exposure and white balance, with well-executed framing decisions.</t>
  </si>
  <si>
    <t>Sound Design: Demonstrates high-level control and clarity in Portable Audio Recording Devices.</t>
  </si>
  <si>
    <t>Editing: Shot choices and order clearly guide meaning and viewer focus. Editing avoids purely functional cuts. Technical handling is strong with minor inconsistencies.</t>
  </si>
  <si>
    <t>Screenwriting: Understands the three-act structure, but narrative progression tends to be predictable.</t>
  </si>
  <si>
    <t>Direction: Understands the basics of continuity and decoupage, but struggles with clarity in complex scenes.</t>
  </si>
  <si>
    <t>Production: Outcomes are semi-aligned with the brief, showing a functional bridge between theory and practical application.</t>
  </si>
  <si>
    <t>Cinematography: Basic continuity is maintained, though minor lapses affect the overall flow.</t>
  </si>
  <si>
    <t>Sound Design: Shows good understanding and execution in Portable Audio Recording Devices.</t>
  </si>
  <si>
    <t>Editing: Shot selection supports the story, but duration is not always used effectively to build rhythm or emotion.</t>
  </si>
  <si>
    <t>Screenwriting: Struggles with basic story structure, resulting in disjointed or incomplete narratives.</t>
  </si>
  <si>
    <t>Direction: Demonstrates partial understanding of continuity, resulting in inconsistencies in scene construction.</t>
  </si>
  <si>
    <t>Production: Basic technical requirements have been met, yet inconsistencies in execution detract from the overall impact of the outcome.</t>
  </si>
  <si>
    <t>Sound Design: Basic capability in Portable Audio Recording Devices.</t>
  </si>
  <si>
    <t>Screenwriting: Does not demonstrate understanding of basic story structure.</t>
  </si>
  <si>
    <t>Direction: Lacks understanding of continuity and decoupage, resulting in disjointed and incoherent scene construction.</t>
  </si>
  <si>
    <t>Production: Concepts are often introduced but lack the necessary development or execution to reach a completed state.</t>
  </si>
  <si>
    <t>Cinematography: Camera angles appear arbitrary, without supporting the visual intent.</t>
  </si>
  <si>
    <t>Editing: Shots do not support the story or emotional intent.</t>
  </si>
  <si>
    <t>Screenwriting: Shows strong understanding of conflict, creating tension that drives the narrative forward.</t>
  </si>
  <si>
    <t>Direction: Applies staging patterns (I, A, L, C, S) effectively to enhance visual storytelling and spatial dynamics.</t>
  </si>
  <si>
    <t>Production: Every production decision is driven by strong, discernible intent, reflecting a deep conceptual understanding of the medium.</t>
  </si>
  <si>
    <t>Cinematography: Integrates emotion with camera movement, strengthening storytelling impact.</t>
  </si>
  <si>
    <t>Sound Design: Demonstrates high-level control and clarity in Sound Recording &amp; Sound Editing of Dialogue Scenes.</t>
  </si>
  <si>
    <t>Editing: Editing creates strong emotional impact through pacing and reactions. Minor technical or VFX integration inconsistencies are visible.</t>
  </si>
  <si>
    <t>Screenwriting: Shows awareness of conflict, though it is not consistently developed across the script.</t>
  </si>
  <si>
    <t>Direction: Uses staging patterns with some awareness, but application lacks precision.</t>
  </si>
  <si>
    <t>Production: The work is well-developed, yet there remains visible scope for refinement in the more intricate details of the production.</t>
  </si>
  <si>
    <t>Sound Design: Shows good understanding and execution in Sound Recording &amp; Sound Editing of Dialogue Scenes.</t>
  </si>
  <si>
    <t>Editing: Good use of reactions and pacing for emotion. Technical execution and VFX integration need refinement.</t>
  </si>
  <si>
    <t>Direction: Shows limited understanding of staging patterns and their application.</t>
  </si>
  <si>
    <t>Production: There is a general alignment with the project brief, but the execution often lacks the clarity to fully communicate the intended outcome.</t>
  </si>
  <si>
    <t>Cinematography: Reveals a weak connection between emotion and camera movement.</t>
  </si>
  <si>
    <t>Editing: Frequent mismatches in eyelines, movement, or screen direction disrupt viewing.</t>
  </si>
  <si>
    <t>Screenwriting: Conflict is absent or ineffective.</t>
  </si>
  <si>
    <t>Direction: Does not demonstrate understanding of staging patterns or spatial dynamics.</t>
  </si>
  <si>
    <t>Production: Demonstrates limited clarity in how to translate instructions into a finished product; further guidance on core concepts is essential.</t>
  </si>
  <si>
    <t>Cinematography: Shows no meaningful connection between emotion and visual movement.</t>
  </si>
  <si>
    <t>Sound Design: Requires significant improvement in Sound Recording &amp; Sound Editing of Dialogue Scenes.</t>
  </si>
  <si>
    <t>Editing: Dialogue, silence, and sound are poorly used or disconnected from visuals.</t>
  </si>
  <si>
    <t>Direction: Shows excellent control over subject engagement, while allowing more spontaneity to emerge.</t>
  </si>
  <si>
    <t>Production: Outcomes are perfectly aligned with Semester objectives, showing a rare clarity in translating complex theory into practice.</t>
  </si>
  <si>
    <t>Screenwriting: Demonstrates advanced understanding of genre conventions, using them with originality. Dialogue, action, and visual elements work together to create layered storytelling.</t>
  </si>
  <si>
    <t>Cinematography: Integrates focus, focal length, and depth of field thoughtfully to enhance visual storytelling.</t>
  </si>
  <si>
    <t>Editing: Demonstrates clear understanding of raw material, structuring it into a compelling narrative. Filmic time is well managed, with good rhythm alignment. Technical and workflow processes are largely consistent.</t>
  </si>
  <si>
    <t>Sound Design: Demonstrated strong execution in Production Sound Recording and Sound Effects Designing skills</t>
  </si>
  <si>
    <t>Reflects strong visual consistency in visual effects, aligned with interpretation and emerging craft ownership and executed with confidence.</t>
  </si>
  <si>
    <t>Direction: Shows awareness of real-world storytelling, though observational detail is limited.</t>
  </si>
  <si>
    <t>Production: Outcomes are well-aligned with the semester’s advanced objectives, showing a disciplined and thoughtful approach to the brief.</t>
  </si>
  <si>
    <t>Screenwriting: Theme and premise are present, though their integration into scenes and character decisions can be more clearly developed. Subtext appears in moments but is not sustained.</t>
  </si>
  <si>
    <t>Cinematography: Applies depth of field and focal length with some awareness, though not always effectively.</t>
  </si>
  <si>
    <t>Editing: Understands how to handle footage and build narrative. Rhythm and sound-image alignment are inconsistent.</t>
  </si>
  <si>
    <t>Sound Design: Shows good understanding of Sound Editing with scope for improvement in Sound Fx Design and Music Design</t>
  </si>
  <si>
    <t>Reflects good visual consistency in visual effects, aligned with interpretation and emerging craft ownership, with room for stronger polish.</t>
  </si>
  <si>
    <t>Direction: Relies on surface-level observation, with minimal insight or interpretation.</t>
  </si>
  <si>
    <t>Production: Basic technical goals are met, but frequent inconsistencies in execution suggest a need for more rigorous self-review.</t>
  </si>
  <si>
    <t>Screenwriting: Limited understanding of genre conventions results in inconsistent tone and unclear genre identity.</t>
  </si>
  <si>
    <t>Cinematography: Shows limited understanding of the relationship between focus, focal length, and depth of field.</t>
  </si>
  <si>
    <t>Editing: Execution in Avid Media Composer shows errors. Rhythm, time structuring, and narrative clarity are affected.</t>
  </si>
  <si>
    <t>Sound Design: Average skills developed in Sound Editing; requires significant improvement in creative aspects of Sound Fx Design</t>
  </si>
  <si>
    <t>Communicates basic visual consistency in visual effects, though consistency against interpretation and emerging craft ownership expectations needs improvement.</t>
  </si>
  <si>
    <t>Direction: Shows minimal understanding of observational or non-fiction storytelling.</t>
  </si>
  <si>
    <t>Production: Projects often lack the necessary follow-through, with key production phases left incomplete or poorly executed.</t>
  </si>
  <si>
    <t>Screenwriting: Theme and premise are unclear or absent, with no meaningful integration into the script. Subtext is not evident.</t>
  </si>
  <si>
    <t>Cinematography: Shows little understanding of focus, focal length, and depth of field relationships.</t>
  </si>
  <si>
    <t>Editing: Significant errors in Avid Media Composer. Output quality affects narrative and rhythm.</t>
  </si>
  <si>
    <t>Sound Design: Requires significant improvement in Production Sound Recording and Music Design</t>
  </si>
  <si>
    <t>Lacks control over visual consistency in visual effects, and requires substantial improvement against interpretation and emerging craft ownership expectations.</t>
  </si>
  <si>
    <t>Direction: Shows excellent command over blocking and actor direction, with scope to deepen subtext in performances.</t>
  </si>
  <si>
    <t>Production: Execution is characterized by a high degree of precision, reflecting a disciplined and meticulous approach to the final production phase.</t>
  </si>
  <si>
    <t>Screenwriting: Creates effective montage sequences, integrating voice-over, music, and natural sound to convey meaning visually.</t>
  </si>
  <si>
    <t>Cinematography: Shapes light purposefully to support storytelling, with strong control over mood and atmosphere.</t>
  </si>
  <si>
    <t>Editing: Balances internal shot rhythm with external edit rhythm using sensory and tonal contrast cutting. Maintains spatial continuity across 360° movement. Workflow from ingestion to DI output is consistent and reliable.</t>
  </si>
  <si>
    <t>Sound Design: Demonstrates effeciency in handling complex situations in Production Sound; shows good understanding of the concepts of Sequence Analysis</t>
  </si>
  <si>
    <t>Reflects strong visual consistency in visual effects, aligned with craft control and execution and executed with confidence.</t>
  </si>
  <si>
    <t>Direction: Demonstrates basic control over performances, though emotional depth needs refinement.</t>
  </si>
  <si>
    <t>Production: Successfully aligns complex project goals with final outputs, maintaining a clear and logical workflow throughout the semester.</t>
  </si>
  <si>
    <t>Screenwriting: Montage sequences are functional, though integration of sound and image can be more purposeful.</t>
  </si>
  <si>
    <t>Cinematography: Uses lighting effectively, though control over mood and shaping can be refined.</t>
  </si>
  <si>
    <t>Editing: Enhances performances through timing and reactions. Workflow from ingest to DI/Pro Tools requires better organisation and consistency.</t>
  </si>
  <si>
    <t>Sound Design: Handles Dubbing effectively in an independent manner; requires betterment in Production Sound Recording skills</t>
  </si>
  <si>
    <t>Reflects good visual consistency in visual effects, aligned with craft control and execution, with room for stronger polish.</t>
  </si>
  <si>
    <t>Direction: Actor direction is inconsistent, with performances lacking clarity in motivation.</t>
  </si>
  <si>
    <t>Production: Projects are generally aligned with the brief, but the execution lacks the clarity of intent required for a sophisticated outcome.</t>
  </si>
  <si>
    <t>Screenwriting: Montage sequences are attempted but lack clear purpose or integration of sound elements.</t>
  </si>
  <si>
    <t>Cinematography: Applies lighting without clear intent, resulting in uneven visual outcomes.</t>
  </si>
  <si>
    <t>Editing: Errors in Avid Media Composer usage affect editing. Data copying, backups, and metadata organisation are unreliable.</t>
  </si>
  <si>
    <t>Sound Design: Basic awareness of Production Sound; needs special attention in all aspects of Sound Post Production</t>
  </si>
  <si>
    <t>Communicates basic visual consistency in visual effects, though consistency against craft control and execution expectations needs improvement.</t>
  </si>
  <si>
    <t>Direction: Actor direction is minimal, leading to unclear and unconvincing performances.</t>
  </si>
  <si>
    <t>Production: A recurring lack of precision in the production process suggests a need to revisit basic techniques and quality control measures.</t>
  </si>
  <si>
    <t>Screenwriting: Montage sequences are unclear or incomplete, with no effective use of sound or visual progression.</t>
  </si>
  <si>
    <t>Cinematography: Uses lighting without clear purpose, resulting in weak visual storytelling.</t>
  </si>
  <si>
    <t>Editing: No evidence of tonal, sensory, or axial cutting. Edits remain mechanical or incorrect.</t>
  </si>
  <si>
    <t>Sound Design: Struggles in understanding the concepts of Digital Audio; needs significant improvement in Dubbing methods</t>
  </si>
  <si>
    <t>Lacks control over visual consistency in visual effects, and requires substantial improvement against craft control and execution expectations.</t>
  </si>
  <si>
    <t>Production: Every production choice is underpinned by a refined strategic intent, showing a mature understanding of how to achieve specific, high-level goals.</t>
  </si>
  <si>
    <t>Screenwriting: Develops sharp advertisement concepts, with concise one-liners and clearly visualised narrative hooks suited to short-form storytelling.</t>
  </si>
  <si>
    <t>Cinematography: Adapts confidently to available light and challenging night conditions, maintaining visual consistency.</t>
  </si>
  <si>
    <t>Editing: Designs clear build–release patterns and tension arcs across sequences. Uses metric variation and intercutting effectively. Demonstrates strong collaboration and organised workflow from ingest to delivery.</t>
  </si>
  <si>
    <t>Sound Design: Chooses and shapes Sound Effects efficiently with strong aesthetic sense of Sound Design</t>
  </si>
  <si>
    <t>Reflects strong visual consistency in visual effects, aligned with advanced workflow and collaboration and executed with confidence.</t>
  </si>
  <si>
    <t>Direction: Maintains basic directorial control, though tonal shifts between episodes feel uneven.</t>
  </si>
  <si>
    <t>Production: Successfully aligns production outcomes with project goals, with minor scope for greater precision in the finer, advanced details.</t>
  </si>
  <si>
    <t>Screenwriting: Advertisement concepts are clear, though one-liners lack sharpness and visual execution can be more defined.</t>
  </si>
  <si>
    <t>Cinematography: Adapts to available light conditions, though consistency can be improved.</t>
  </si>
  <si>
    <t>Editing: Story structure is clear. Integration of motion graphics and VFX lacks cohesion with edit rhythm.</t>
  </si>
  <si>
    <t>Sound Design: Integrates Dialog, Sound Effects and Music effectively for a scene; requires more proficiency in applying Signal Processing in an Audio Mix</t>
  </si>
  <si>
    <t>Reflects good visual consistency in visual effects, aligned with advanced workflow and collaboration, with room for stronger polish.</t>
  </si>
  <si>
    <t>Direction: Shows basic direction skills, though lacks control over pacing and progression.</t>
  </si>
  <si>
    <t>Production: Outcomes generally follow the brief, but the lack of precision often obscures the clarity of the original intent.</t>
  </si>
  <si>
    <t>Screenwriting: Advertisement writing lacks conceptual clarity, with weak or unfocused central ideas.</t>
  </si>
  <si>
    <t>Cinematography: Shows difficulty adapting to available light and night shooting conditions.</t>
  </si>
  <si>
    <t>Editing: Editing: Some strong emotional moments through timing and reactions. Overall progression and continuity are uneven.</t>
  </si>
  <si>
    <t>Sound Design: Displays basic skills in Dubbing and Music recording; needs more improvement in Foley Recording</t>
  </si>
  <si>
    <t>Communicates basic visual consistency in visual effects, though consistency against advanced workflow and collaboration expectations needs improvement.</t>
  </si>
  <si>
    <t>Direction: Direction shows minimal control over tone, pacing, and storytelling.</t>
  </si>
  <si>
    <t>Production: The production process is currently fragmented; a more disciplined and consistent approach is vital to achieving a viable result.</t>
  </si>
  <si>
    <t>Screenwriting: Advertisement concepts are unclear or lack a central idea, with no defined audience or intent.</t>
  </si>
  <si>
    <t>Cinematography: Is unable to adapt to available light or night shooting conditions.</t>
  </si>
  <si>
    <t>Editing: Issues in file management, metadata, backups, and export processes.</t>
  </si>
  <si>
    <t>Sound Design: Requires to independently handle Dubbing or Foley recording efficiently</t>
  </si>
  <si>
    <t>Lacks control over visual consistency in visual effects, and requires substantial improvement against advanced workflow and collaboration expectations.</t>
  </si>
  <si>
    <t>Direction: Shows excellent command over performances and blocking, while refining subtle emotional transitions.</t>
  </si>
  <si>
    <t>Production: Execution is of a superior industry standard, characterized by meticulous attention to detail and a seamless final finish.</t>
  </si>
  <si>
    <t>Screenwriting: Applies insights from screenwriter study to their own writing, reflecting awareness of voice, form, and narrative choices.</t>
  </si>
  <si>
    <t>Cinematography: Interprets and translates directorial vision effectively into cohesive cinematographic decisions.</t>
  </si>
  <si>
    <t>Editing: Demonstrates high creative and critical editorial application, especially in shaping time and emotional progression. Meets deadlines and maintains organised workflow. Minor gaps exist in integrating sound and final finishing processes.</t>
  </si>
  <si>
    <t>Sound Design: Demonstrates strong ownership of Sound Designing in an assigned film project starting from scripting to Final Output</t>
  </si>
  <si>
    <t>Reflects strong visual consistency in visual effects, aligned with professional readiness and final output and executed with confidence.</t>
  </si>
  <si>
    <t>Direction: Demonstrates control over actors, though performances lack depth in key scenes.</t>
  </si>
  <si>
    <t>Production: Successfully manages the complex requirements of a capstone project, ensuring that the final output is aligned with Semester standards.</t>
  </si>
  <si>
    <t>Screenwriting: Shows awareness of authorial voice, though its application to their own writing is inconsistent.</t>
  </si>
  <si>
    <t>Cinematography: Interprets direction effectively, though execution may lack precision in parts.</t>
  </si>
  <si>
    <t>Editing: Works well in collaboration and responds to direction. However, struggles to translate feedback into consistent improvements across the edit.</t>
  </si>
  <si>
    <t>Sound Design: Displays strong ability in Audio Mix and Mastering; requires more attention in execution of Sound Recording and Designing</t>
  </si>
  <si>
    <t>Reflects good visual consistency in visual effects, aligned with professional readiness and final output, with room for stronger polish.</t>
  </si>
  <si>
    <t>Production: Successfully aligns the final outcome with basic semester objectives, though the execution often lacks the clarity to fully realize the intended vision.</t>
  </si>
  <si>
    <t>Screenwriting: Limited understanding of authorial voice, with no clear influence on their own writing.</t>
  </si>
  <si>
    <t>Cinematography: Interprets direction with limited clarity, affecting execution.</t>
  </si>
  <si>
    <t>Editing: Editing shows isolated strong ideas, but lacks sustained structure and clarity. Workflow processes are inconsistently followed.</t>
  </si>
  <si>
    <t>Sound Design: Basic capability in making a pre-production planning of Sound Design for a project; lacks technical proficiency in Sound Recording and Post in a film</t>
  </si>
  <si>
    <t>Communicates basic visual consistency in visual effects, though consistency against professional readiness and final output expectations needs improvement.</t>
  </si>
  <si>
    <t>Direction: Minimal control over performances, resulting in unconvincing acting.</t>
  </si>
  <si>
    <t>Production: The work lacks the necessary clarity of intent; production choices appear disconnected from the project objectives and final-semester brief.</t>
  </si>
  <si>
    <t>Screenwriting: Does not demonstrate awareness of authorial voice or its relevance to writing practice.</t>
  </si>
  <si>
    <t>Sound Design: Requires significant improvement in Prodcution Sound Recording; needs to build technical proficiency in Sound Editing and Track Laying in a film</t>
  </si>
  <si>
    <t>Lacks control over visual consistency in visual effects, and requires substantial improvement against professional readiness and final output expectations.</t>
  </si>
  <si>
    <t>Reflects strong expressive judgement, aligned with professional readiness and final output and executed with confidence.</t>
  </si>
  <si>
    <t>Reflects good expressive judgement, aligned with professional readiness and final output, with room for stronger polish.</t>
  </si>
  <si>
    <t>Communicates basic expressive judgement, though consistency against professional readiness and final output expectations needs improvement.</t>
  </si>
  <si>
    <t>Lacks control over expressive judgement, and requires substantial improvement against professional readiness and final output expectations.</t>
  </si>
  <si>
    <t>Reflects strong execution stability, aligned with professional readiness and final output and executed with confidence.</t>
  </si>
  <si>
    <t>Reflects good execution stability, aligned with professional readiness and final output, with room for stronger polish.</t>
  </si>
  <si>
    <t>Communicates basic execution stability, though consistency against professional readiness and final output expectations needs improvement.</t>
  </si>
  <si>
    <t>Lacks control over execution stability, and requires substantial improvement against professional readiness and final output expectations.</t>
  </si>
  <si>
    <t>Reflects strong communication discipline, aligned with professional readiness and final output and executed with confidence.</t>
  </si>
  <si>
    <t>Reflects good communication discipline, aligned with professional readiness and final output, with room for stronger polish.</t>
  </si>
  <si>
    <t>Communicates basic communication discipline, though consistency against professional readiness and final output expectations needs improvement.</t>
  </si>
  <si>
    <t>Lacks control over communication discipline, and requires substantial improvement against professional readiness and final output expectations.</t>
  </si>
  <si>
    <t>Screenwriting: Shows originality and depth in creative writing exercises, with a distinct narrative voice and perspective.</t>
  </si>
  <si>
    <t>Direction: Maintains a detailed and reflective film diary, demonstrating critical thinking and evolving directorial perspective.</t>
  </si>
  <si>
    <t>Production: Successfully achieves semi-aligned outcomes that bridge the gap between creative experimentation and disciplined production.</t>
  </si>
  <si>
    <t>Cinematography: Demonstrates a good sense of continuity and shot construction, with minimal disruptions in visual flow.</t>
  </si>
  <si>
    <t>Sound Design: Demonstrates high-level control and clarity in Location Sound Recording.</t>
  </si>
  <si>
    <t>Editing: Shows confidence in moving beyond basic continuity to create expressive cuts. Emotional beats are well-timed; slight improvement needed in precision or smoothness.</t>
  </si>
  <si>
    <t>Screenwriting: Shows effort in creative writing, though originality and depth could be improved.</t>
  </si>
  <si>
    <t>Direction: Maintains a film diary, though reflections are inconsistent or lack depth.</t>
  </si>
  <si>
    <t>Production: The work is effective and well-produced, yet there remains visible scope for refinement in the final aesthetic/technical layers.</t>
  </si>
  <si>
    <t>Cinematography: Close-ups and framing show intent, but could be used more purposefully.</t>
  </si>
  <si>
    <t>Sound Design: Shows good understanding and execution in Location Sound Recording.</t>
  </si>
  <si>
    <t>Editing: Clean work in Adobe Premiere Pro. Needs to move beyond technical correctness toward expressive editing decisions.</t>
  </si>
  <si>
    <t>Screenwriting: Creative writing exercises lack originality and depth, often relying on predictable ideas.</t>
  </si>
  <si>
    <t>Direction: Film diary is incomplete or lacks meaningful reflection and critical engagement.</t>
  </si>
  <si>
    <t>Production: Outcomes show a general understanding of the brief, but the alignment between intent and result is often loose or vague.</t>
  </si>
  <si>
    <t>Cinematography: Continuity issues are noticeable and affect the viewing experience.</t>
  </si>
  <si>
    <t>Sound Design: Basic capability in Location Sound Recording.</t>
  </si>
  <si>
    <t>Editing: Limited control of tools in Adobe Premiere Pro; rough cuts and timing issues affect clarity.</t>
  </si>
  <si>
    <t>Screenwriting: Creative writing exercises are incomplete or show minimal effort.</t>
  </si>
  <si>
    <t>Direction: Film diary is absent or does not meet basic academic requirements.</t>
  </si>
  <si>
    <t>Production: The final outcome shows limited alignment with the project requirements, necessitating a more focused approach to the brief.</t>
  </si>
  <si>
    <t>Cinematography: Significant continuity issues disrupt the coherence of the work.</t>
  </si>
  <si>
    <t>Sound Design: Requires significant improvement in Location Sound Recording.</t>
  </si>
  <si>
    <t>Editing: Editing does not convey mood or engagement.</t>
  </si>
  <si>
    <t>Screenwriting: Demonstrates distinct character voices, making dialogue unique and identifiable.</t>
  </si>
  <si>
    <t>Direction: Demonstrates strong command over visualisation tools, including storyboards and mood boards, to clearly communicate directorial intent.</t>
  </si>
  <si>
    <t>Production: Displays a high degree of technical fluency, navigating Semester challenges with confidence and creative autonomy.</t>
  </si>
  <si>
    <t>Cinematography: Executes basic camera movements (pan and tilt) with confidence and smoothness.</t>
  </si>
  <si>
    <t>Sound Design: Demonstrates high-level clarity in Workflow from Pre-Production to Post-Production of Sound in Film &amp; TV Industry.</t>
  </si>
  <si>
    <t>Editing: Clean execution with strong continuity and VFX integration. Emotional shaping through pauses, silences, and reactions can be further refined.</t>
  </si>
  <si>
    <t>Screenwriting: Characters have some distinction, though dialogue voices are not always clearly differentiated.</t>
  </si>
  <si>
    <t>Direction: Uses visualisation tools adequately, though planning lacks depth or clarity.</t>
  </si>
  <si>
    <t>Production: Maintains good control over the production process throughout the semester, though consistency occasionally wavers under complex tasks.</t>
  </si>
  <si>
    <t>Cinematography: Handles basic camera movements (pan and tilt) adequately, with minor inconsistencies.</t>
  </si>
  <si>
    <t>Sound Design: Shows good understanding in Workflow from Pre-Production to Post-Production of Sound in Film &amp; TV Industry.</t>
  </si>
  <si>
    <t>Editing: Understands all areas—dialogue, montage, rhythm, and VFX but inconsistencies prevent a fully cohesive outcome.</t>
  </si>
  <si>
    <t>Screenwriting: Characters lack distinct voices, making dialogue repetitive.</t>
  </si>
  <si>
    <t>Direction: Visualisation tools are underutilized or lack clarity, affecting planning.</t>
  </si>
  <si>
    <t>Production: Basic requirements are met, though a lack of attention to detail frequently results in an unpolished final production.</t>
  </si>
  <si>
    <t>Cinematography: Executes basic camera movements with noticeable inconsistency and lack of control.</t>
  </si>
  <si>
    <t>Sound Design: Basic capability in Workflow from Pre-Production to Post-Production of Sound in Film &amp; TV Industry.</t>
  </si>
  <si>
    <t>Editing: Basic editing present, but reactions, pauses, and silences are underused or ineffective.</t>
  </si>
  <si>
    <t>Screenwriting: Characters are undefined, with no distinct voice or motivation.</t>
  </si>
  <si>
    <t>Production: Production quality is inconsistent and frequently falls below the expected benchmark for this level of study.</t>
  </si>
  <si>
    <t>Cinematography: Executes camera movements poorly, with instability or lack of control.</t>
  </si>
  <si>
    <t>Sound Design: Requires significant improvement in Workflow from Pre-Production to Post-Production of Sound in Film &amp; TV Industry.</t>
  </si>
  <si>
    <t>Editing: Shots are assembled without meaningful conceptual or thematic connection.</t>
  </si>
  <si>
    <t>Direction: Integrates visuals and sound meaningfully, though could explore more experimental storytelling approaches.</t>
  </si>
  <si>
    <t>Production: Execution goes beyond mere competence, showing a level of artistry and polish that distinguishes the work as top-tier.</t>
  </si>
  <si>
    <t>Screenwriting: Balances character-driven and plot-driven storytelling effectively, with well-defined arcs and purposeful escalation. Dialogue uses rhythm, pauses, and interruption to enhance emotional beats.</t>
  </si>
  <si>
    <t>Cinematography: Constructs lighting setups with clear intent, effectively shaping light to suit the scene.</t>
  </si>
  <si>
    <t>Editing: High level of technical execution and workflow discipline in Avid Media Composer. Filmic time is structured well, though rhythm and musical interplay could be more expressive.</t>
  </si>
  <si>
    <t>Sound Design: Demonstrated strong execution in Sound Editing and Sound Effects Designing skills</t>
  </si>
  <si>
    <t>Maintains strong tracking discipline in visual effects, aligned with interpretation and emerging craft ownership and executed with confidence.</t>
  </si>
  <si>
    <t>Direction: Integrates sound and visuals adequately, but lacks depth in layering.</t>
  </si>
  <si>
    <t>Production: Displays a good understanding of production workflows, managing the increased complexity of Sem III with steady control.</t>
  </si>
  <si>
    <t>Screenwriting: Shows awareness of genre conventions, though reliance on familiar tropes limits originality. Some scenes rely more on dialogue than visual storytelling.</t>
  </si>
  <si>
    <t>Cinematography: Applies basic lighting principles, though control over light shaping is limited.</t>
  </si>
  <si>
    <t>Editing: Some strong rhythmic and emotional moments. Narrative flow and time construction lack consistency. Workflow is mostly functional.</t>
  </si>
  <si>
    <t>Sound Design: Shows good understanding of Sound Fx Design with scope for improvement in Production Sound and Music Design</t>
  </si>
  <si>
    <t>Maintains good tracking discipline in visual effects, aligned with interpretation and emerging craft ownership, with room for stronger polish.</t>
  </si>
  <si>
    <t>Direction: Visual and sound elements are functional but not meaningfully integrated.</t>
  </si>
  <si>
    <t>Production: Attempts to align work with Sem objectives, but the final outcome often lacks the clarity needed to fully realize the intent.</t>
  </si>
  <si>
    <t>Screenwriting: Character arcs are weak or inconsistent, with minimal transformation. Dialogue often states emotions directly rather than expressing them through interaction.</t>
  </si>
  <si>
    <t>Cinematography: Applies lighting inconsistently, with limited control over light quality and direction.</t>
  </si>
  <si>
    <t>Editing: Editing communicates information but lacks rhythm, musicality, and emotional shaping. Workflow is inconsistent.</t>
  </si>
  <si>
    <t>Sound Design: Basic understanding of Music Design; requires significant improvement in Production Sound Recording and Sound Fx Design</t>
  </si>
  <si>
    <t>Needs stronger control over tracking discipline in visual effects to meet interpretation and emerging craft ownership expectations more consistently.</t>
  </si>
  <si>
    <t>Direction: Poor integration of visual and sound elements.</t>
  </si>
  <si>
    <t>Production: Shows a profound lack of clarity regarding intent, making it difficult to understand the reasoning behind production choices.</t>
  </si>
  <si>
    <t>Screenwriting: Demonstrates little understanding of genre conventions, leading to inconsistent tone and ineffective storytelling.</t>
  </si>
  <si>
    <t>Cinematography: Uses lighting without clear intent, resulting in poorly defined images.</t>
  </si>
  <si>
    <t>Editing: Editing process is disorganised, affecting narrative clarity and technical output.</t>
  </si>
  <si>
    <t>Needs stronger significant improvement in tracking discipline in visual effects to meet interpretation and emerging craft ownership expectations.</t>
  </si>
  <si>
    <t>Direction: Maintains narrative clarity through visual storytelling, though could reduce reliance on dialogue in key moments.</t>
  </si>
  <si>
    <t>Production: Production choices are driven by sophisticated intent, pushing the boundaries of the brief to produce innovative and original results.</t>
  </si>
  <si>
    <t>Screenwriting: Adapts writing effectively across formats (film, television, web), demonstrating clear understanding of structural and tonal differences.</t>
  </si>
  <si>
    <t>Cinematography: Constructs lighting setups that convincingly represent different times of day.</t>
  </si>
  <si>
    <t>Editing: Selects and integrates takes to shape both performance and filmic time. Demonstrates clear understanding of progression beyond continuity. Strong DIT discipline and accurate exports for sound and colour pipelines.</t>
  </si>
  <si>
    <t>Sound Design: Demonstrates effeciency in handling complex situations in Production Sound; displays excellent skills in Sound Editing and Design</t>
  </si>
  <si>
    <t>Maintains strong tracking discipline in visual effects, aligned with craft control and execution and executed with confidence.</t>
  </si>
  <si>
    <t>Direction: Uses visual storytelling in parts, but still depends heavily on dialogue.</t>
  </si>
  <si>
    <t>Production: Displays a good ability to navigate Sem challenges, though more proactive refinement in the final stages would elevate the work.</t>
  </si>
  <si>
    <t>Screenwriting: Shows understanding of different formats, though distinctions between film, television, and web writing are not always precise.</t>
  </si>
  <si>
    <t>Cinematography: Attempts to represent different times of day through lighting, with moderate success.</t>
  </si>
  <si>
    <t>Editing: Attempts tonal or sensory cutting but without full clarity. Spatial logic and DIT workflow are adequate but not deeply integrated.</t>
  </si>
  <si>
    <t>Sound Design: Executes Sound Editing and Dubbing works with efficency; needs more attention in Recording Production Sound</t>
  </si>
  <si>
    <t>Maintains good tracking discipline in visual effects, aligned with craft control and execution, with room for stronger polish.</t>
  </si>
  <si>
    <t>Direction: Relies predominantly on dialogue, with minimal visual storytelling.</t>
  </si>
  <si>
    <t>Production: Manages the basic requirements of the Semester workflow, yet struggles with the precision needed for complex tasks.</t>
  </si>
  <si>
    <t>Screenwriting: Limited understanding of writing across formats, with inconsistent structural approach.</t>
  </si>
  <si>
    <t>Cinematography: Shows difficulty in representing time-of-day lighting convincingly.</t>
  </si>
  <si>
    <t>Editing: Sound and music are not meaningfully integrated. Exports for Pro Tools and DI are incomplete or incorrect.</t>
  </si>
  <si>
    <t>Sound Design: Covers Prodcution Sound Recording on an average level; needs significant improvement in Sound Editing and Dubbing Techniques</t>
  </si>
  <si>
    <t>Needs stronger control over tracking discipline in visual effects to meet craft control and execution expectations more consistently.</t>
  </si>
  <si>
    <t>Direction: Over-reliance on dialogue with little to no visual storytelling.</t>
  </si>
  <si>
    <t>Production: There is a notable disconnect between the project intent and the final output, indicating a struggle with complex brief interpretation.</t>
  </si>
  <si>
    <t>Screenwriting: Demonstrates little understanding of format-specific writing, with no clear structural approach.</t>
  </si>
  <si>
    <t>Cinematography: Fails to establish convincing time-of-day lighting.</t>
  </si>
  <si>
    <t>Editing: Data copying, backups, metadata tagging, and transcoding are not properly managed.</t>
  </si>
  <si>
    <t>Sound Design: Requires clear understanding of Dubbing workflow and Sound Editing technques</t>
  </si>
  <si>
    <t>Needs stronger significant improvement in tracking discipline in visual effects to meet craft control and execution expectations.</t>
  </si>
  <si>
    <t>Direction: Maintains consistent directorial style across episodes, though transitions between episodes can be more distinctive.</t>
  </si>
  <si>
    <t>Production: Displays such high-level control over the medium that the work serves as a benchmark for quality and technical innovation within the cohort.</t>
  </si>
  <si>
    <t>Screenwriting: Generates strong feature-length ideas, identifying concepts with clear dramatic potential, thematic coherence, and narrative scalability.</t>
  </si>
  <si>
    <t>Cinematography: Constructs lighting setups suitable for VFX work, ensuring clean and controlled keying conditions.</t>
  </si>
  <si>
    <t>Editing: Balances scene-level editing with overall film structure. Demonstrates episodic and long-form thinking. Workflow, media handling, and archiving practices are systematic.</t>
  </si>
  <si>
    <t>Sound Design: Manages complex recording sessions of Music recording independently with sufficient knowledge of Rhythm, Chords and Melody</t>
  </si>
  <si>
    <t>Maintains strong tracking discipline in visual effects, aligned with advanced workflow and collaboration and executed with confidence.</t>
  </si>
  <si>
    <t>Direction: Coordinates departments adequately, though integration with narrative intent needs strengthening.</t>
  </si>
  <si>
    <t>Production: Exhibits a strong understanding of the production workflow; however, some areas of the final execution would benefit from a more polished finish.</t>
  </si>
  <si>
    <t>Screenwriting: Feature-length ideas show promise, though narrative scope and thematic focus need refinement.</t>
  </si>
  <si>
    <t>Cinematography: Applies basic VFX lighting principles, though control over spill and separation can improve.</t>
  </si>
  <si>
    <t>Editing: Individual scenes are strong, but overall film structure and progression need refinement.</t>
  </si>
  <si>
    <t>Sound Design: Applies Signal Processors effectively in the Audio Mix; needs to develop technical skills and aesthetics in Audio Mix</t>
  </si>
  <si>
    <t>Maintains good tracking discipline in visual effects, aligned with advanced workflow and collaboration, with room for stronger polish.</t>
  </si>
  <si>
    <t>Direction: Limited awareness of VOD format and audience retention strategies.</t>
  </si>
  <si>
    <t>Production: Displays basic control over the production workflow, yet struggles to maintain accuracy when managing multiple specialized variables.</t>
  </si>
  <si>
    <t>Screenwriting: Feature-length ideas lack clear premise, with insufficient narrative direction or thematic grounding.</t>
  </si>
  <si>
    <t>Cinematography: Applies VFX lighting inconsistently, affecting keying quality.</t>
  </si>
  <si>
    <t>Editing: Graphics or VFX feel disconnected from narrative and rhythm. Pipeline understanding is partial.</t>
  </si>
  <si>
    <t>Sound Design: Displays basic skills in Audio Mixing and Mastering; needs more improvement in all Post Production works</t>
  </si>
  <si>
    <t>Needs stronger control over tracking discipline in visual effects to meet advanced workflow and collaboration expectations more consistently.</t>
  </si>
  <si>
    <t>Direction: Poor integration of departments, resulting in an inconsistent output.</t>
  </si>
  <si>
    <t>Production: Outcomes show a significant disconnect from the semester's advanced objectives, requiring a re-evaluation of core technical principles.</t>
  </si>
  <si>
    <t>Screenwriting: Feature-length ideas are underdeveloped, lacking premise clarity or narrative potential.</t>
  </si>
  <si>
    <t>Cinematography: Fails to apply appropriate lighting for VFX, resulting in unusable footage.</t>
  </si>
  <si>
    <t>Editing: Compositing and graphics are poorly executed or disconnected from story.</t>
  </si>
  <si>
    <t>Sound Design: Needs special attention in Sound Editing and Track Laying for outputting to Mix theatre</t>
  </si>
  <si>
    <t>Needs stronger significant improvement in tracking discipline in visual effects to meet advanced workflow and collaboration expectations.</t>
  </si>
  <si>
    <t>Direction: Maintains strong narrative coherence, though could experiment more boldly with form and structure.</t>
  </si>
  <si>
    <t>Production: Outcomes are perfectly aligned with final-semester objectives, demonstrating a rare clarity in translating a capstone vision into reality.</t>
  </si>
  <si>
    <t>Screenwriting: Expands a one-page idea into a detailed synopsis, with clear escalation of stakes and narrative layering.</t>
  </si>
  <si>
    <t>Cinematography: Presents in-depth analysis of a cinematographer’s work, with strong understanding of style, technique, and impact.</t>
  </si>
  <si>
    <t>Editing: Strong in handling pressure situations with effective decision-making and adaptability. DIT practices and media management are mostly consistent. Creative interpretation is strong, though deeper layering of meaning could be explored.</t>
  </si>
  <si>
    <t>Sound Design: Interprets and translates directorial vision effectively into creative decisions and executions of Sound Design in an assigned film</t>
  </si>
  <si>
    <t>Maintains strong tracking discipline in visual effects, aligned with professional readiness and final output and executed with confidence.</t>
  </si>
  <si>
    <t>Direction: Maintains narrative structure, though pacing issues affect engagement.</t>
  </si>
  <si>
    <t>Production: Displays a mature approach to production, handling the pressures of the final semester with steady control and professional conduct.</t>
  </si>
  <si>
    <t>Screenwriting: Expands ideas into a synopsis, though narrative escalation and depth need further development.</t>
  </si>
  <si>
    <t>Cinematography: Presents a clear analysis of a cinematographer’s work, though depth of insight can be improved.</t>
  </si>
  <si>
    <t>Editing: Shows good control in individual scenes. Macro narrative structuring and time design require development. Workflow execution is functional but not always reliable.</t>
  </si>
  <si>
    <t>Sound Design: Shows good creative skills in Sound Designing; needs to develop technical proficiency of Sound Recording and Sound Editing of a film</t>
  </si>
  <si>
    <t>Maintains good tracking discipline in visual effects, aligned with professional readiness and final output, with room for stronger polish.</t>
  </si>
  <si>
    <t>Direction: Narrative structure is unclear in parts, with pacing and continuity issues.</t>
  </si>
  <si>
    <t>Production: Managed the final production cycle to completion, but a lack of precision in the middle stages has resulted in a less-than-seamless outcome.</t>
  </si>
  <si>
    <t>Screenwriting: Synopsis shows limited expansion of the original idea, with weak narrative development.</t>
  </si>
  <si>
    <t>Cinematography: Presents a basic analysis of a cinematographer’s work, with limited critical depth.</t>
  </si>
  <si>
    <t>Editing: Struggles with integrating sound, VFX, and graphics into a cohesive narrative. Problem-solving remains surface-level.</t>
  </si>
  <si>
    <t>Sound Design: Average level performance in Production Sound Recording; lacks an understanding of creative methods of Sound Track laying and Design in a project</t>
  </si>
  <si>
    <t>Needs stronger control over tracking discipline in visual effects to meet professional readiness and final output expectations more consistently.</t>
  </si>
  <si>
    <t>Direction: Narrative structure is fragmented, with major pacing and continuity issues.</t>
  </si>
  <si>
    <t>Production: Demonstrates a critical lack of follow-through in the production cycle, leaving the final outcome in a fragmented or incomplete state.</t>
  </si>
  <si>
    <t>Screenwriting: Fails to expand the initial idea into a coherent synopsis.</t>
  </si>
  <si>
    <t>Cinematography: Presents minimal or unclear analysis of a cinematographer’s work.</t>
  </si>
  <si>
    <t>Editing: Minimal creative interpretation; editing remains literal and unengaging.</t>
  </si>
  <si>
    <t>Sound Design: Requires significant improvement in Sound Editing and Track Laying in a film; needs to judge the recording quality of Production Sound</t>
  </si>
  <si>
    <t>Needs stronger significant improvement in tracking discipline in visual effects to meet professional readiness and final output expectations.</t>
  </si>
  <si>
    <t>Maintains strong conceptual depth, aligned with professional readiness and final output and executed with confidence.</t>
  </si>
  <si>
    <t>Maintains good conceptual depth, aligned with professional readiness and final output, with room for stronger polish.</t>
  </si>
  <si>
    <t>Needs stronger control over conceptual depth to meet professional readiness and final output expectations more consistently.</t>
  </si>
  <si>
    <t>Needs stronger significant improvement in conceptual depth to meet professional readiness and final output expectations.</t>
  </si>
  <si>
    <t>Maintains strong tool command, aligned with professional readiness and final output and executed with confidence.</t>
  </si>
  <si>
    <t>Maintains good tool command, aligned with professional readiness and final output, with room for stronger polish.</t>
  </si>
  <si>
    <t>Needs stronger significant improvement in tool command to meet professional readiness and final output expectations.</t>
  </si>
  <si>
    <t>Maintains strong deadline ownership, aligned with professional readiness and final output and executed with confidence.</t>
  </si>
  <si>
    <t>Maintains good deadline ownership, aligned with professional readiness and final output, with room for stronger polish.</t>
  </si>
  <si>
    <t>Needs stronger control over deadline ownership to meet professional readiness and final output expectations more consistently.</t>
  </si>
  <si>
    <t>Needs stronger significant improvement in deadline ownership to meet professional readiness and final output expectations.</t>
  </si>
  <si>
    <t>Screenwriting: Effectively develops characters with clear motivations and contributes to meaningful narrative progression.</t>
  </si>
  <si>
    <t>Direction: Actively engages in collaborative exercises, contributing meaningfully to camera, edit, and sound integration.</t>
  </si>
  <si>
    <t>Production: Maintains a high level of control across all phases of the project, ensuring a cohesive and unified final production.</t>
  </si>
  <si>
    <t>Cinematography: Close-ups and framing choices are used effectively to communicate intent and draw viewer attention.</t>
  </si>
  <si>
    <t>Sound Design: Demonstrates high-level clarity in Recording &amp; Editing Ambiences.</t>
  </si>
  <si>
    <t>Editing: Shot duration is used effectively to create mood and pacing. Progression is clear, though shot selection could be further refined.</t>
  </si>
  <si>
    <t>Screenwriting: Shows good understanding and execution in sem i with scope for refinement (6).Develops characters with some clarity, but they lack strong individuality or depth.</t>
  </si>
  <si>
    <t>Direction: Participates in collaborative exercises, but contribution could be more proactive and integrated.</t>
  </si>
  <si>
    <t>Production: Intent is evident throughout the production process, but deeper exploration is needed to move beyond standard solutions.</t>
  </si>
  <si>
    <t>Cinematography: Technical execution is generally sound, with occasional exposure or white balance issues.</t>
  </si>
  <si>
    <t>Sound Design: Shows good understanding and execution in Recording &amp; Editing Ambiences</t>
  </si>
  <si>
    <t>Editing: Some strong emotional moments through timing and reactions. Overall progression and continuity are uneven.</t>
  </si>
  <si>
    <t>Screenwriting: Characters are underdeveloped, with unclear motivations and limited contribution to the story.</t>
  </si>
  <si>
    <t>Direction: Shows minimal contribution in collaborative exercises, affecting overall output.</t>
  </si>
  <si>
    <t>Production: Shows an awareness of necessary processes, though minor errors and a lack of exactness are visible in the final production.</t>
  </si>
  <si>
    <t>Cinematography: Close-ups are used inconsistently or without clear narrative intent.</t>
  </si>
  <si>
    <t>Sound Design: Basic capability in Recording &amp; Editing Ambiences</t>
  </si>
  <si>
    <t>Editing: Editing communicates action but not feeling; reactions and pauses are underused.</t>
  </si>
  <si>
    <t>Screenwriting: Characters are absent or lack any clear definition or purpose.</t>
  </si>
  <si>
    <t>Direction: Fails to participate in collaborative exercises, impacting both learning and group work.</t>
  </si>
  <si>
    <t>Production: Significant improvement is needed in quality control, as the work often lacks the basic polish expected at this level.</t>
  </si>
  <si>
    <t>Cinematography: Close-ups and shot choices lack clarity and purpose.</t>
  </si>
  <si>
    <t>Sound Design: Requires significant improvement in Recording &amp; Editing Ambiences</t>
  </si>
  <si>
    <t>Editing: Significant errors in using Adobe Premiere Pro affect the overall output.</t>
  </si>
  <si>
    <t>Screenwriting: Writes with strong awareness of rhythm and pacing, allowing scenes to flow naturally.</t>
  </si>
  <si>
    <t>Direction: Shows clarity in using props and space meaningfully to support narrative and character behaviour.</t>
  </si>
  <si>
    <t>Production: Goes beyond the basic requirements to optimize outcomes, showing a proactive approach to elevating the quality of the work.</t>
  </si>
  <si>
    <t>Cinematography: Adapts effectively to available light, making informed visual decisions.</t>
  </si>
  <si>
    <t>Sound Design: Demonstrates high-level control and clarity in Making Sound Stories.</t>
  </si>
  <si>
    <t>Editing: Excellent use of pacing, silence, and sound-image interplay. Montage and VFX are effective but not fully explored conceptually.</t>
  </si>
  <si>
    <t>Screenwriting: Demonstrates basic control over pacing, though scenes may feel uneven.</t>
  </si>
  <si>
    <t>Direction: Demonstrates basic use of props and space, though not always motivated by narrative intent.</t>
  </si>
  <si>
    <t>Production: Successfully translates Semester theory into practice, producing work that is competent and hits all major benchmarks.</t>
  </si>
  <si>
    <t>Cinematography: Recognizes available light conditions, though adaptation could be stronger.</t>
  </si>
  <si>
    <t>Sound Design: Shows good understanding and execution in Making Sound Stories.</t>
  </si>
  <si>
    <t>Editing: Maintains spatial and temporal clarity well. Editing choices are safe; montage and visual experimentation are limited.</t>
  </si>
  <si>
    <t>Screenwriting: Pacing is uneven, affecting the overall rhythm of the script.</t>
  </si>
  <si>
    <t>Direction: Use of props and space appears arbitrary rather than purposeful.</t>
  </si>
  <si>
    <t>Production: Shows a foundational grasp of Semester theory, yet struggles to apply these concepts with consistent accuracy in practice.</t>
  </si>
  <si>
    <t>Cinematography: Shows limited ability to adapt to available light conditions.</t>
  </si>
  <si>
    <t>Sound Design: Basic capability in Making Sound Stories.</t>
  </si>
  <si>
    <t>Editing: Rough cuts, timing problems, or poor VFX integration reduce overall quality.</t>
  </si>
  <si>
    <t>Screenwriting: Shows no control over pacing, resulting in disjointed writing.</t>
  </si>
  <si>
    <t>Direction: Shows no purposeful use of props or space within scenes.</t>
  </si>
  <si>
    <t>Production: A lack of precision in the execution phase suggests that more time must be dedicated to the "fundamentals" of the craft.</t>
  </si>
  <si>
    <t>Cinematography: Shows poor understanding of available light and its practical use.</t>
  </si>
  <si>
    <t>Sound Design: Requires significant improvement in Making Sound Stories.</t>
  </si>
  <si>
    <t>Editing: Graphics or effects are distracting, unclear, or technically incorrect.</t>
  </si>
  <si>
    <t>Direction: Maintains ethical awareness and responsibility, with potential to interrogate perspective more critically.</t>
  </si>
  <si>
    <t>Production: Displays a strategic approach to production, managing complex workflows with clarity, efficiency, and decisive intent.</t>
  </si>
  <si>
    <t>Screenwriting: Applies research and development rigorously, resulting in well-realised settings and coherent worlds. Visual writing is precise, with clear staging and cinematic clarity.</t>
  </si>
  <si>
    <t>Cinematography: Controls contrast ratios and light direction to create depth and visual interest.</t>
  </si>
  <si>
    <t>Editing: Strong use of rhythm and sound-image interplay to shape emotion. Narrative construction and documentary structuring are effective, with slight inconsistencies in continuity or workflow.</t>
  </si>
  <si>
    <t>Sound Design: Demonstrated strong execution in Sound Editing and Music Designing skills</t>
  </si>
  <si>
    <t>Applies strong cleanup accuracy in visual effects, aligned with interpretation and emerging craft ownership and executed with confidence.</t>
  </si>
  <si>
    <t>Direction: Maintains general ethical consideration, though perspective needs more clarity.</t>
  </si>
  <si>
    <t>Production: The work is highly competent, with the "scope for refinement" lying in the nuanced details of the final presentation.</t>
  </si>
  <si>
    <t>Screenwriting: Character arcs are identifiable but lack depth or consistency. Dialogue reflects intent but does not always differentiate character voice effectively.</t>
  </si>
  <si>
    <t>Cinematography: Maintains acceptable contrast, though lighting lacks refinement in certain areas.</t>
  </si>
  <si>
    <t>Editing: Handles editing process systematically. However, rhythm, musicality, and time shaping remain basic.</t>
  </si>
  <si>
    <t>Sound Design: Shows good understanding of Production Sound Recording with scope for improvement in Sound Editing and Sound Fx Design</t>
  </si>
  <si>
    <t>Applies good cleanup accuracy in visual effects, aligned with interpretation and emerging craft ownership, with room for stronger polish.</t>
  </si>
  <si>
    <t>Direction: Limited awareness of ethical considerations in representation.</t>
  </si>
  <si>
    <t>Production: Manages the basic requirements of the production workflow, though struggles to keep pace with the semester's more complex demands.</t>
  </si>
  <si>
    <t>Screenwriting: Scenes are functional but lack clear conflict, progression, or purpose. Emotional beats are not effectively constructed.</t>
  </si>
  <si>
    <t>Cinematography: Shows weak control over contrast, resulting in flat or unbalanced images.</t>
  </si>
  <si>
    <t>Editing: Footage handling and editing process lack structure. Filmic time and narrative progression are unclear.</t>
  </si>
  <si>
    <t>Sound Design: Basic understanding of Production Sound Recording; requires significant improvement in Sound Fx Design</t>
  </si>
  <si>
    <t>Requires better control over cleanup accuracy in visual effects to meet interpretation and emerging craft ownership expectations more consistently.</t>
  </si>
  <si>
    <t>Direction: Ethical considerations are overlooked or inadequately addressed.</t>
  </si>
  <si>
    <t>Production: The work consistently lacks the precision and care required at this stage of the course, necessitating a return to basic principles.</t>
  </si>
  <si>
    <t>Screenwriting: Characterisation is weak, with no clear arcs or development. Dialogue lacks differentiation and does not support character intent.</t>
  </si>
  <si>
    <t>Cinematography: Fails to control contrast and light direction effectively.</t>
  </si>
  <si>
    <t>Editing: Editing does not create mood or rhythm. Sound and image are disconnected.</t>
  </si>
  <si>
    <t>Sound Design: Requires significant improvement in Sound Editing and Music Design</t>
  </si>
  <si>
    <t>Displays insufficient control over cleanup accuracy in visual effects, and requires substantial improvement against interpretation and emerging craft ownership expectations.</t>
  </si>
  <si>
    <t>Direction: Displays confident control over spatial and temporal continuity, with room to experiment more boldly with form.</t>
  </si>
  <si>
    <t>Production: Manages the most complex Semester workflows with total autonomy, demonstrating a high-level of organizational control and foresight.</t>
  </si>
  <si>
    <t>Screenwriting: Develops a well-structured web series bible, with strong episodic arcs, character continuity, and season-level progression.</t>
  </si>
  <si>
    <t>Cinematography: Manages complex lighting transitions (interior/exterior, day/night) with clarity and control.</t>
  </si>
  <si>
    <t>Editing: Sound design, music, and editing are cohesively integrated. Spatial logic, including reversals and movement, is clearly understood. Media management, metadata, and pipeline execution are efficient.</t>
  </si>
  <si>
    <t>Sound Design: Demonstrates efficiency in handling Dubbing works independently; displays excellent skills in Sound Editing and Design</t>
  </si>
  <si>
    <t>Applies strong cleanup accuracy in visual effects, aligned with craft control and execution and executed with confidence.</t>
  </si>
  <si>
    <t>Direction: Maintains overall narrative structure, though pacing fluctuates across the film.</t>
  </si>
  <si>
    <t>Production: The work is highly competent, with the scope for refinement primarily found in the aesthetic or technical "finishing touches."</t>
  </si>
  <si>
    <t>Screenwriting: Web series bible is structured, though episodic arcs and long-term narrative development need further clarity.</t>
  </si>
  <si>
    <t>Cinematography: Handles lighting transitions with some clarity, though execution lacks precision.</t>
  </si>
  <si>
    <t>Editing: Maintains staging and continuity well. Sound design and music are not fully integrated into rhythm. Pipeline execution is moderate.</t>
  </si>
  <si>
    <t>Sound Design: Handles Production Sound Recording and Sound Editing efficiently; needs betterment in understanding the concepts of Digital Audio</t>
  </si>
  <si>
    <t>Applies good cleanup accuracy in visual effects, aligned with craft control and execution, with room for stronger polish.</t>
  </si>
  <si>
    <t>Direction: Narrative progression is uneven, with issues in pacing and scene transitions.</t>
  </si>
  <si>
    <t>Production: Fundamental production tasks are completed, but a lack of attention to detail results in a finish that requires further refinement.</t>
  </si>
  <si>
    <t>Screenwriting: Web series bible is underdeveloped, with weak episodic structure and unclear character arcs.</t>
  </si>
  <si>
    <t>Cinematography: Attempts lighting transitions, but lacks clarity and control.</t>
  </si>
  <si>
    <t>Editing: Cuts do not consistently respond to staging or emotional shifts. Workflow does not support structured editing.</t>
  </si>
  <si>
    <t>Sound Design: Capable to do Sound Effects on a basic level; requires significant improvement in Dubbing, Production Sound Recording and Music Design</t>
  </si>
  <si>
    <t>Requires better control over cleanup accuracy in visual effects to meet craft control and execution expectations more consistently.</t>
  </si>
  <si>
    <t>Direction: Narrative structure is unclear, with significant issues in continuity and pacing.</t>
  </si>
  <si>
    <t>Production: Projects frequently remain in an underdeveloped state, lacking the sustained execution required for a completed Semester outcome.</t>
  </si>
  <si>
    <t>Screenwriting: Web series bible is incomplete or lacks coherence in episodic and season-level development.</t>
  </si>
  <si>
    <t>Cinematography: Is unable to manage lighting transitions effectively.</t>
  </si>
  <si>
    <t>Editing: Sound is not integrated. Exports for Pro Tools and DI are incorrect or unusable.</t>
  </si>
  <si>
    <t>Sound Design: Doesn't display good skills of Music Design and Sound Editing</t>
  </si>
  <si>
    <t>Displays insufficient control over cleanup accuracy in visual effects, and requires substantial improvement against craft control and execution expectations.</t>
  </si>
  <si>
    <t>Direction: Leads collaboration efficiently across departments, with potential to take bolder creative risks.</t>
  </si>
  <si>
    <t>Production: Successfully aligns ambitious creative visions with practical outcomes, maintaining a rigorous standard of execution throughout.</t>
  </si>
  <si>
    <t>Screenwriting: Synopses are well-structured, with defined arcs, clear stakes, and progression that reflects feature-length storytelling logic.</t>
  </si>
  <si>
    <t>Cinematography: Shapes lighting effectively for special situations, balancing realism and stylization.</t>
  </si>
  <si>
    <t>Editing: Seamlessly integrates live action, VFX, motion graphics, and sound design into narrative structure. Demonstrates strong understanding of compositing workflows and pipeline coordination.</t>
  </si>
  <si>
    <t>Sound Design: Integrates Dialog, Sound Effects and Music for a scene with great efficiency and have a good sense of Audio-Visual storytelling</t>
  </si>
  <si>
    <t>Applies strong cleanup accuracy in visual effects, aligned with advanced workflow and collaboration and executed with confidence.</t>
  </si>
  <si>
    <t>Direction: Uses visual storytelling in parts, but still relies heavily on dialogue.</t>
  </si>
  <si>
    <t>Production: Maintains good control over advanced media and tools, resulting in outcomes that are well-constructed and conceptually clear.</t>
  </si>
  <si>
    <t>Screenwriting: Synopses present a coherent structure, though character arcs and escalation of stakes are uneven.</t>
  </si>
  <si>
    <t>Cinematography: Handles special lighting situations with some success, though results lack refinement.</t>
  </si>
  <si>
    <t>Editing: Attempts to construct meaning through juxtaposition, but connections are not always clear or impactful.</t>
  </si>
  <si>
    <t>Sound Design: Constructs a good Audio Mix for a given set of Dialog, Music, Effects tracks; needs to develop more aesthetic sense in Sound Deisgn</t>
  </si>
  <si>
    <t>Applies good cleanup accuracy in visual effects, aligned with advanced workflow and collaboration, with room for stronger polish.</t>
  </si>
  <si>
    <t>Direction: Collaboration between departments is inconsistent, impacting narrative quality.</t>
  </si>
  <si>
    <t>Production: Core requirements are met, but the work lacks the refined detail and "final-mile" polish expected at this advanced level.</t>
  </si>
  <si>
    <t>Screenwriting: Synopses are loosely structured, with unclear arcs and weak sense of progression.</t>
  </si>
  <si>
    <t>Cinematography: Struggles with lighting in special situations, resulting in uneven outcomes.</t>
  </si>
  <si>
    <t>Editing: Editing does not effectively shape character relationships or perspective.</t>
  </si>
  <si>
    <t>Sound Design: Performs Music Recording and Mix on a basic level; needs more improvement in Audio Signal Processing</t>
  </si>
  <si>
    <t>Requires better control over cleanup accuracy in visual effects to meet advanced workflow and collaboration expectations more consistently.</t>
  </si>
  <si>
    <t>Direction: Over-reliance on dialogue with little cinematic expression.</t>
  </si>
  <si>
    <t>Production: The work lacks the fundamental polish and precision expected at this late stage of the program, requiring urgent refinement.</t>
  </si>
  <si>
    <t>Screenwriting: Synopses lack coherence, with no clear structure, progression, or character focus.</t>
  </si>
  <si>
    <t>Cinematography: Uses lighting ineffectively in special situations.</t>
  </si>
  <si>
    <t>Editing: Limited engagement with director/producer intent. Editing does not reinterpret material.</t>
  </si>
  <si>
    <t>Sound Design: Needs special attention in Dialog Editing, Signal Processing and Track Laying for Mix</t>
  </si>
  <si>
    <t>Displays insufficient control over cleanup accuracy in visual effects, and requires substantial improvement against advanced workflow and collaboration expectations.</t>
  </si>
  <si>
    <t>Direction: Leads collaboration efficiently across departments, with potential for more risk-taking in execution.</t>
  </si>
  <si>
    <t>Production: Shows high-level control over the medium, using technical skills not just for completion, but for innovative and impactful storytelling.</t>
  </si>
  <si>
    <t>Screenwriting: Develops a feature treatment that sustains narrative progression, with coherent arcs and tonal consistency.</t>
  </si>
  <si>
    <t>Cinematography: Articulates insights clearly through research, connecting theory with practical cinematographic application.</t>
  </si>
  <si>
    <t>Editing: Technically proficient with reliable workflow execution from ingest to delivery. Demonstrates good feedback assimilation and collaboration. Editing is effective, though risk-taking in structure and form could be increased.</t>
  </si>
  <si>
    <t>Sound Design: Dispalys strong ability to do research and explore unique features of a Sound Designer's work; Capable of innnovation in Sound Design in a film</t>
  </si>
  <si>
    <t>Applies strong cleanup accuracy in visual effects, aligned with professional readiness and final output and executed with confidence.</t>
  </si>
  <si>
    <t>Direction: Coordinates departments adequately, though alignment with narrative intent needs strengthening.</t>
  </si>
  <si>
    <t>Production: The work is of a high standard, though there is still visible scope for refinement in the more intricate, specialized details of the project.</t>
  </si>
  <si>
    <t>Screenwriting: Treatment reflects overall story direction, though arcs and tonal consistency are uneven.</t>
  </si>
  <si>
    <t>Cinematography: Connects theoretical research to practice, though articulation lacks clarity in some areas.</t>
  </si>
  <si>
    <t>Editing: Demonstrates awareness of DIT and post-production pipeline. Execution has gaps in data organisation, exports, or finishing. Needs more attention to detail..</t>
  </si>
  <si>
    <t>Sound Design: Shows good creative skills in Sound Designing; needs to develop technical proficiency of Audio Mix and Mastering of a film</t>
  </si>
  <si>
    <t>Applies good cleanup accuracy in visual effects, aligned with professional readiness and final output, with room for stronger polish.</t>
  </si>
  <si>
    <t>Direction: Limited coordination between departments, impacting overall film quality.</t>
  </si>
  <si>
    <t>Production: Core production tasks are present, yet the work lacks the refined "final-mile" attention to detail expected at the conclusion of the course.</t>
  </si>
  <si>
    <t>Screenwriting: Treatment lacks sustained progression, with unclear arcs and tonal inconsistency.</t>
  </si>
  <si>
    <t>Cinematography: Shows partial understanding of theoretical frameworks, with weak connection to practice.</t>
  </si>
  <si>
    <t>Editing: Shows limited initiative in collaboration and adapting to feedback. Editing decisions remain mechanical.</t>
  </si>
  <si>
    <t>Sound Design: Average level performance in Sound Editing and Audio Mix; requires significant improvement in handling Production Sound Recording in a film</t>
  </si>
  <si>
    <t>Requires better control over cleanup accuracy in visual effects to meet professional readiness and final output expectations more consistently.</t>
  </si>
  <si>
    <t>Direction: Poor coordination between departments, leading to a disjointed film.</t>
  </si>
  <si>
    <t>Production: The project lacks the basic precision and care required for a final-year submission, necessitating an urgent return to fundamental principles.</t>
  </si>
  <si>
    <t>Screenwriting: Treatment is unclear, with no sustained narrative progression.</t>
  </si>
  <si>
    <t>Cinematography: Shows little understanding of theoretical frameworks or their application.</t>
  </si>
  <si>
    <t>Editing: Unable to effectively collaborate or respond to feedback. Limited problem-solving ability.</t>
  </si>
  <si>
    <t>Sound Design: Application of ideas and thoughts in doing Sound Script, Treatment and other pre-production planning needs to significantly better</t>
  </si>
  <si>
    <t>Displays insufficient control over cleanup accuracy in visual effects, and requires substantial improvement against professional readiness and final output expectations.</t>
  </si>
  <si>
    <t>Applies strong artistic confidence, aligned with professional readiness and final output and executed with confidence.</t>
  </si>
  <si>
    <t>Applies good artistic confidence, aligned with professional readiness and final output, with room for stronger polish.</t>
  </si>
  <si>
    <t>Requires better control over artistic confidence to meet professional readiness and final output expectations more consistently.</t>
  </si>
  <si>
    <t>Displays insufficient control over artistic confidence, and requires substantial improvement against professional readiness and final output expectations.</t>
  </si>
  <si>
    <t>Applies strong finish quality, aligned with professional readiness and final output and executed with confidence.</t>
  </si>
  <si>
    <t>Applies good finish quality, aligned with professional readiness and final output, with room for stronger polish.</t>
  </si>
  <si>
    <t>Requires better control over finish quality to meet professional readiness and final output expectations more consistently.</t>
  </si>
  <si>
    <t>Displays insufficient control over finish quality, and requires substantial improvement against professional readiness and final output expectations.</t>
  </si>
  <si>
    <t>Applies strong professional attitude, aligned with professional readiness and final output and executed with confidence.</t>
  </si>
  <si>
    <t>Applies good professional attitude, aligned with professional readiness and final output, with room for stronger polish.</t>
  </si>
  <si>
    <t>Displays insufficient control over professional attitude, and requires substantial improvement against professional readiness and final output expectations.</t>
  </si>
  <si>
    <t>Screenwriting: Demonstrates strong observational skills, translating real-life experiences into compelling story ideas.</t>
  </si>
  <si>
    <t>Direction: Demonstrates strong awareness of time and space in filmmaking, constructing scenes with logical progression.</t>
  </si>
  <si>
    <t>Production: Exhibits decisive and intelligent control over the medium, opting for solutions that enhance the clarity.</t>
  </si>
  <si>
    <t>Cinematography: Shows a well-rounded understanding of both technical and visual fundamentals introduced in the course.</t>
  </si>
  <si>
    <t>Sound Design: Demonstrates high-level clarity in Editing &amp; Mixing Sound Elements using Sound Editing Software.</t>
  </si>
  <si>
    <t>Editing: Frames, shot sizes, and inserts are used purposefully to convey meaning. Emotional intent is clear; minor technical or timing issues remain.</t>
  </si>
  <si>
    <t>Screenwriting: Engages with observational exercises, though translation into strong story ideas needs development.</t>
  </si>
  <si>
    <t>Direction: Shows awareness of time and space in scenes, though execution is not always precise.</t>
  </si>
  <si>
    <t>Production: Maintains a consistent workflow; however, greater precision in the middle stages would yield a more results.</t>
  </si>
  <si>
    <t>Cinematography: Shows developing understanding of visual storytelling, though choices can be more deliberate.</t>
  </si>
  <si>
    <t>Sound Design: Shows good understanding and execution in Editing &amp; Mixing Sound Elements using Sound Editing Software.</t>
  </si>
  <si>
    <t>Editing: Attempts to avoid purely functional cuts. Needs more clarity in arranging shots for stronger progression.</t>
  </si>
  <si>
    <t>Screenwriting: Observational exercises are not effectively translated into usable story material.</t>
  </si>
  <si>
    <t>Direction: Demonstrates weak understanding of spatial and temporal relationships in scenes.</t>
  </si>
  <si>
    <t>Production: The work is functional and meets the minimum criteria, but lacks the depth and refinement seen in more advanced iterations.</t>
  </si>
  <si>
    <t>Cinematography: Technical inconsistencies in exposure and colour affect image quality.</t>
  </si>
  <si>
    <t>Sound Design: Basic capability in Editing &amp; Mixing Sound Elements using Sound Editing Software.</t>
  </si>
  <si>
    <t>Editing: Scenes feel disconnected, with weak arrangement of shots.</t>
  </si>
  <si>
    <t>Screenwriting: Does not engage with observational or ideation exercises.</t>
  </si>
  <si>
    <t>Direction: Demonstrates no understanding of time and space in filmmaking.</t>
  </si>
  <si>
    <t>Production: Finds it difficult to translate theoretical instructions into practical production, resulting in underdeveloped outcomes.</t>
  </si>
  <si>
    <t>Cinematography: Technical issues in exposure and colour significantly affect visibility and quality.</t>
  </si>
  <si>
    <t>Sound Design: Requires significant improvement in Editing &amp; Mixing Sound Elements using Sound Editing Software.</t>
  </si>
  <si>
    <t>Editing: Sequence lacks coherence, with abrupt or unrelated cuts.</t>
  </si>
  <si>
    <t>Screenwriting: Effectively uses dialogue in different situations, adapting tone and style appropriately.</t>
  </si>
  <si>
    <t>Direction: Demonstrates control over rhythm and pacing, effectively shaping scenes through performance and visual flow.</t>
  </si>
  <si>
    <t>Production: Maintains rigorous control over the production workflow, resulting in outcomes that are both polished and conceptually sound.</t>
  </si>
  <si>
    <t>Cinematography: Utilizes basic lighting techniques effectively, including three-point lighting and bounce control.</t>
  </si>
  <si>
    <t>Sound Design: Demonstrates high-level control and clarity in Sound Designing for Animation &amp; VFX.</t>
  </si>
  <si>
    <t>Editing: Shot composition and visual relationships are highly effective. Dialogue pacing and sound layering can be further nuanced.</t>
  </si>
  <si>
    <t>Screenwriting: Writes dialogue suited to situations, but lacks tonal variation.</t>
  </si>
  <si>
    <t>Direction: Shows awareness of rhythm and pacing, but struggles to maintain it consistently.</t>
  </si>
  <si>
    <t>Production: The work exhibits clear logic and structure; however, further polishing would elevate the overall sophistication of the outcome.</t>
  </si>
  <si>
    <t>Cinematography: Applies basic lighting techniques, though control over shaping light is limited.</t>
  </si>
  <si>
    <t>Sound Design: Shows good understanding and execution in Sound Designing for Animation &amp; VFX.</t>
  </si>
  <si>
    <t>Editing: Pacing and timing are effective in parts. Narrative clarity and continuity across scenes need strengthening.</t>
  </si>
  <si>
    <t>Screenwriting: Dialogue does not effectively reflect situation or character intent.</t>
  </si>
  <si>
    <t>Direction: Rhythm and pacing are inconsistent, affecting overall scene engagement.</t>
  </si>
  <si>
    <t>Production: While the student is capable of completing the work, a more disciplined approach is needed to eliminate recurring technical errors.</t>
  </si>
  <si>
    <t>Cinematography: Demonstrates minimal application of basic lighting techniques.</t>
  </si>
  <si>
    <t>Sound Design: Basic capability in Sound Designing for Animation &amp; VFX.</t>
  </si>
  <si>
    <t>Editing: Some variation in composition, but choices do not clearly guide meaning or emphasis.</t>
  </si>
  <si>
    <t>Screenwriting: Dialogue does not align with situation or character, reducing credibility.</t>
  </si>
  <si>
    <t>Direction: Demonstrates no control over rhythm or pacing.</t>
  </si>
  <si>
    <t>Production: Outcomes show a significant disconnect from the Semester objectives, indicating a need for better planning and follow-through.</t>
  </si>
  <si>
    <t>Cinematography: Uses lighting ineffectively, with minimal control over results.</t>
  </si>
  <si>
    <t>Sound Design: Requires significant improvement in Sound Designing for Animation &amp; VFX.</t>
  </si>
  <si>
    <t>Editing: Shot choices lack purpose, affecting clarity and engagement.</t>
  </si>
  <si>
    <t>Direction: Leads collaboration effectively, while encouraging stronger creative input from all departments.</t>
  </si>
  <si>
    <t>Production: Achieves a sophisticated level of clarity in communication, ensuring that even the most complex ideas are executed with precision.</t>
  </si>
  <si>
    <t>Screenwriting: Scene construction is strong, with clear conflict, progression, and emotional layering. Subtext emerges through behaviour and interaction rather than explicit explanation.</t>
  </si>
  <si>
    <t>Cinematography: Interprets and recreates reference lighting with strong accuracy and attention to detail.</t>
  </si>
  <si>
    <t>Editing: Handles footage systematically and efficiently, building clear progression. Rhythm and time construction are effective, though creative exploration could be extended.</t>
  </si>
  <si>
    <t>Sound Design: Demonstrated strong execution in Sound Effects Designing and Music Designing skills</t>
  </si>
  <si>
    <t>Handles strong image believability in visual effects, aligned with interpretation and emerging craft ownership and executed with confidence.</t>
  </si>
  <si>
    <t>Direction: Collaborates well, though coordination between direction and other departments can improve.</t>
  </si>
  <si>
    <t>Production: Shows a good ability to execute tasks analytically, though more daring or innovative choices would elevate the work further.</t>
  </si>
  <si>
    <t>Screenwriting: Scene construction supports narrative progression, though pacing and escalation require refinement. Emotional beats are sometimes stated rather than implied or evoked.</t>
  </si>
  <si>
    <t>Cinematography: Attempts to recreate reference lighting, though accuracy can be improved.</t>
  </si>
  <si>
    <t>Editing: Sequences are visually clear and logically arranged. Sound and music are not fully integrated into the rhythm structure.</t>
  </si>
  <si>
    <t>Sound Design: Shows good understanding of Production Sound Recording with scope for improvement in Sound Fx Design and Music Design</t>
  </si>
  <si>
    <t>Handles good image believability in visual effects, aligned with interpretation and emerging craft ownership, with room for stronger polish.</t>
  </si>
  <si>
    <t>Direction: Collaboration is inconsistent, impacting overall execution.</t>
  </si>
  <si>
    <t>Production: The final production meets the minimum criteria, but significant improvement in accuracy is required for a more polished result.</t>
  </si>
  <si>
    <t>Screenwriting: Research and development are minimal, leading to underdeveloped settings and weak visualisation. Writing tends toward literary description rather than cinematic expression.</t>
  </si>
  <si>
    <t>Cinematography: Attempts to recreate lighting from reference, but lacks accuracy.</t>
  </si>
  <si>
    <t>Editing: Music and sound are added but not integrated into rhythm or narrative meaning. Time structuring remains basic.</t>
  </si>
  <si>
    <t>Sound Design: Basic skills in technical and creative aspects of Sound Editing; needs more parctice in Production Sound Recording</t>
  </si>
  <si>
    <t>Displays basic image believability in visual effects, though consistency against interpretation and emerging craft ownership expectations needs improvement.</t>
  </si>
  <si>
    <t>Direction: Collaboration is ineffective, leading to disjointed output.</t>
  </si>
  <si>
    <t>Production: Output is unreliable and fails to demonstrate the level of control expected in the third semester of study.</t>
  </si>
  <si>
    <t>Screenwriting: Scenes lack structure, conflict, and purpose, affecting overall narrative clarity. Emotional progression is unclear.</t>
  </si>
  <si>
    <t>Cinematography: Is unable to interpret or recreate reference lighting.</t>
  </si>
  <si>
    <t>Editing: Shots are assembled without clear progression, rhythm, or narrative logic.</t>
  </si>
  <si>
    <t>Sound Design: Requires significant improvement in Sound Fx Design and Music Design</t>
  </si>
  <si>
    <t>Requires substantial significant improvement in image believability in visual effects to meet interpretation and emerging craft ownership expectations.</t>
  </si>
  <si>
    <t>Direction: Effectively balances long takes and fragmented shots, though transitions can be more expressive.</t>
  </si>
  <si>
    <t>Production: The work displays a nuanced understanding of the medium, resulting in outcomes that are as conceptually deep as they are technically sound.</t>
  </si>
  <si>
    <t>Screenwriting: Demonstrates strong collaborative thinking, contributing effectively to writers’ room processes and idea development.</t>
  </si>
  <si>
    <t>Cinematography: Integrates lighting effectively within multi-camera environments, maintaining continuity.</t>
  </si>
  <si>
    <t>Editing: Maintains disciplined DIT practices (backups, tagging, transcoding) while shaping rhythm and emotion effectively. Demonstrates control over axial relations and spatial continuity.</t>
  </si>
  <si>
    <t>Sound Design: Demonstrates efficiency in handling Dubbing works independently; shows good understanding of the concepts of Sequence Analysis</t>
  </si>
  <si>
    <t>Handles strong image believability in visual effects, aligned with craft control and execution and executed with confidence.</t>
  </si>
  <si>
    <t>Direction: Shows awareness of shot design, though camera choices are not always motivated.</t>
  </si>
  <si>
    <t>Production: Maintains a consistent standard of work across complex projects, requiring only slight adjustments to achieve high-level precision.</t>
  </si>
  <si>
    <t>Screenwriting: Participates in collaborative development, though contribution to idea expansion can be more defined.</t>
  </si>
  <si>
    <t>Cinematography: Applies lighting in multi-camera setups, though continuity is not always consistent.</t>
  </si>
  <si>
    <t>Editing: Shows understanding of spatial editing, rhythm, and workflow, but struggles to combine them into a unified editing approach.</t>
  </si>
  <si>
    <t>Sound Design: Develops a good consistent soundtrack through Sound Editing and Production Sound Recording; needs to be better in handling Dubbing</t>
  </si>
  <si>
    <t>Handles good image believability in visual effects, aligned with craft control and execution, with room for stronger polish.</t>
  </si>
  <si>
    <t>Direction: Camera and staging choices appear functional rather than intentional.</t>
  </si>
  <si>
    <t>Production: Demonstrates the ability to follow instructions, but inconsistencies in the application of theory impact the final production.</t>
  </si>
  <si>
    <t>Screenwriting: Limited contribution to collaborative processes, with ideas lacking development.</t>
  </si>
  <si>
    <t>Cinematography: Shows inconsistent lighting across multi-camera setups.</t>
  </si>
  <si>
    <t>Editing: Little to no effective use of axial, tonal, or sensory cutting. Rhythm and spatial clarity are inconsistent.</t>
  </si>
  <si>
    <t>Sound Design: Maintains basic recording standards in Production Sound; Struggles to maintain consistency in Ambience Design and Sound Effects Design</t>
  </si>
  <si>
    <t>Displays basic image believability in visual effects, though consistency against craft control and execution expectations needs improvement.</t>
  </si>
  <si>
    <t>Direction: Camera and staging lack intention, reducing overall cinematic impact.</t>
  </si>
  <si>
    <t>Production: The production workflow is inconsistent, making it difficult to achieve a reliable or functional result in advanced tasks.</t>
  </si>
  <si>
    <t>Screenwriting: Weak fundamentals of writing. Dialogue is overly expository, with no subtext or visual clarity; scenes lack purpose and coherence.</t>
  </si>
  <si>
    <t>Cinematography: Fails to maintain lighting consistency across multiple cameras.</t>
  </si>
  <si>
    <t>Editing: No clear process from ingestion to final output.</t>
  </si>
  <si>
    <t>Sound Design: Unclear and Noisy recordings In Production Sound; requires significant skill improvement in Sound Effects Design</t>
  </si>
  <si>
    <t>Requires substantial significant improvement in image believability in visual effects to meet craft control and execution expectations.</t>
  </si>
  <si>
    <t>Direction: Balances narrative clarity and audience engagement effectively, while enhancing visual storytelling over dialogue.</t>
  </si>
  <si>
    <t>Production: Maintains total control over intricate production variables, resulting in outcomes that are polished, professional, and highly effective.</t>
  </si>
  <si>
    <t>Screenwriting: Demonstrates critical understanding of how structure shapes meaning, effectively evaluating and employing non-linear and non-dramatic forms in relation to theme and audience engagement.</t>
  </si>
  <si>
    <t>Cinematography: Analyzes and interprets visual sequences with strong understanding of cinematic language.</t>
  </si>
  <si>
    <t>Editing: Shows strong ability to evaluate editing choices and articulate reasoning. Applies insights from film analysis into editing decisions. Workflow and collaboration are consistent.</t>
  </si>
  <si>
    <t>Sound Design: Applies Signal Processors effectively in the Audio Mix and exhibits a terrific sense of Mix in a Sountrack Design</t>
  </si>
  <si>
    <t>Handles strong image believability in visual effects, aligned with advanced workflow and collaboration and executed with confidence.</t>
  </si>
  <si>
    <t>Direction: Follows structured planning, though execution lacks polish in some episodes.</t>
  </si>
  <si>
    <t>Production: The work is of a high standard, but there is still room to refine the final output through more rigorous self-evaluation and polish.</t>
  </si>
  <si>
    <t>Screenwriting: Demonstrates awareness of feature development requirements, though ideas require further depth and long-form sustainability.</t>
  </si>
  <si>
    <t>Cinematography: Interprets sequences with basic understanding, though analysis lacks depth.</t>
  </si>
  <si>
    <t>Editing: Works well with director/producer inputs. Execution of ideas across rhythm, structure, and workflow is inconsistent.</t>
  </si>
  <si>
    <t>Sound Design: Constructs a good Audio Mix for a given set of Dialog, Music, Effects tracks; needs better proficiency in Dubbing and Foley recording</t>
  </si>
  <si>
    <t>Handles good image believability in visual effects, aligned with advanced workflow and collaboration, with room for stronger polish.</t>
  </si>
  <si>
    <t>Direction: Relies primarily on dialogue, with minimal visual storytelling.</t>
  </si>
  <si>
    <t>Production: Shows a foundational grasp of the semester's theory, but recurring technical lapses suggest a need for more rigorous quality control.</t>
  </si>
  <si>
    <t>Screenwriting: Limited understanding of structural intent, resulting in form that appears arbitrary or disconnected from meaning.</t>
  </si>
  <si>
    <t>Cinematography: Shows basic interpretation of sequences, with limited analytical depth.</t>
  </si>
  <si>
    <t>Editing: Build–release patterns are unclear. Metric patterns are not effectively used.</t>
  </si>
  <si>
    <t>Sound Design: Applies Audio Signal Processors on a basic level; needs more understanding the techniques and aesthetics of Audio Mix</t>
  </si>
  <si>
    <t>Displays basic image believability in visual effects, though consistency against advanced workflow and collaboration expectations needs improvement.</t>
  </si>
  <si>
    <t>Direction: Inadequate planning and execution across production stages.</t>
  </si>
  <si>
    <t>Production: Finds it difficult to integrate different technical variables, leading to an inconsistent and underdeveloped final production.</t>
  </si>
  <si>
    <t>Screenwriting: Does not demonstrate understanding of structural intent, with form appearing random and unrelated to meaning.</t>
  </si>
  <si>
    <t>Cinematography: Shows minimal understanding of sequence analysis and visual language.</t>
  </si>
  <si>
    <t>Editing: Scenes feel disconnected; no macro structure or progression.</t>
  </si>
  <si>
    <t>Sound Design: Requires to understanding multiple microphone placement techniques for Music Recording</t>
  </si>
  <si>
    <t>Requires substantial significant improvement in image believability in visual effects to meet advanced workflow and collaboration expectations.</t>
  </si>
  <si>
    <t>Direction: Demonstrates professional pre-production planning and workflow, though minor refinements in execution remain.</t>
  </si>
  <si>
    <t>Production: Operates with total autonomy and professional discipline, delivering outcomes that serve as a benchmark for excellence.</t>
  </si>
  <si>
    <t>Screenwriting: Designs episodic structures with distinct episode arcs, ensuring continuity while advancing an overarching narrative.</t>
  </si>
  <si>
    <t>Cinematography: Curates a well-structured showreel that highlights versatility, strengths, and technical proficiency.</t>
  </si>
  <si>
    <t>Editing: Maintains strong discipline in timelines, data handling, and pipeline processes. Demonstrates good genre control and narrative clarity. Emotional shaping and rhythm variation can be further refined.</t>
  </si>
  <si>
    <t>Sound Design: Demonstrates problem solving skills in all through the Sound Design works and is an excellent team player in a film project</t>
  </si>
  <si>
    <t>Handles strong image believability in visual effects, aligned with professional readiness and final output and executed with confidence.</t>
  </si>
  <si>
    <t>Direction: Follows pre-production and workflow processes, though planning lacks detail in execution.</t>
  </si>
  <si>
    <t>Production: Maintains a consistent and logical production workflow, resulting in a finished product that is both functional and aesthetically sound.</t>
  </si>
  <si>
    <t>Screenwriting: Episodic structure is identifiable, though individual episode arcs lack clarity or variation.</t>
  </si>
  <si>
    <t>Cinematography: Organizes a showreel that reflects key skills, though presentation can be more impactful.</t>
  </si>
  <si>
    <t>Editing: Creative intent is visible, especially in performance shaping. However, technical consistency and timeline management need improvement.</t>
  </si>
  <si>
    <t>Sound Design: Shows good techical proficiency in Sound Recording, Editing and Mix; needs to develop better innovative skills in Sound Designing in a film</t>
  </si>
  <si>
    <t>Handles good image believability in visual effects, aligned with professional readiness and final output, with room for stronger polish.</t>
  </si>
  <si>
    <t>Direction: Pre-production planning is minimal, leading to execution challenges.</t>
  </si>
  <si>
    <t>Production: Shows a foundational grasp of final-year theory, but recurring minor errors in execution detract from the overall professional impact.</t>
  </si>
  <si>
    <t>Screenwriting: Episodic writing shows minimal differentiation between episodes, with weak structural identity.</t>
  </si>
  <si>
    <t>Cinematography: Assembles a showreel with limited structure and impact.</t>
  </si>
  <si>
    <t>Editing: Timeline management and delivery discipline need significant improvement. Workflow lacks organisation.</t>
  </si>
  <si>
    <t>Sound Design: Average level performance in Production Sound Recording; requires significant improvement in pre-production planning of Sound Design in a film</t>
  </si>
  <si>
    <t>Displays basic image believability in visual effects, though consistency against professional readiness and final output expectations needs improvement.</t>
  </si>
  <si>
    <t>Direction: Inadequate planning and workflow execution across production stages.</t>
  </si>
  <si>
    <t>Production: Failed to align the final execution with the rigorous standards of the semester, resulting in a production that does not meet baseline requirements.</t>
  </si>
  <si>
    <t>Screenwriting: Episodic writing lacks structure, with no clear arcs or continuity.</t>
  </si>
  <si>
    <t>Cinematography: Presents a poorly structured showreel that does not reflect capabilities effectively.</t>
  </si>
  <si>
    <t>Editing: Fails to meet timelines consistently. Workflow and project management are weak.</t>
  </si>
  <si>
    <t>Sound Design: Requires significant improvement in team collaboration and team spirit in Shoot and Post Production of a film project</t>
  </si>
  <si>
    <t>Requires substantial significant improvement in image believability in visual effects to meet professional readiness and final output expectations.</t>
  </si>
  <si>
    <t>Handles strong interpretive clarity, aligned with professional readiness and final output and executed with confidence.</t>
  </si>
  <si>
    <t>Handles good interpretive clarity, aligned with professional readiness and final output, with room for stronger polish.</t>
  </si>
  <si>
    <t>Displays basic interpretive clarity, though consistency against professional readiness and final output expectations needs improvement.</t>
  </si>
  <si>
    <t>Requires substantial significant improvement in interpretive clarity to meet professional readiness and final output expectations.</t>
  </si>
  <si>
    <t>Handles strong precision, aligned with professional readiness and final output and executed with confidence.</t>
  </si>
  <si>
    <t>Handles good precision, aligned with professional readiness and final output, with room for stronger polish.</t>
  </si>
  <si>
    <t>Displays basic precision, though consistency against professional readiness and final output expectations needs improvement.</t>
  </si>
  <si>
    <t>Requires substantial significant improvement in precision to meet professional readiness and final output expectations.</t>
  </si>
  <si>
    <t>Handles strong collaborative maturity, aligned with professional readiness and final output and executed with confidence.</t>
  </si>
  <si>
    <t>Handles good collaborative maturity, aligned with professional readiness and final output, with room for stronger polish.</t>
  </si>
  <si>
    <t>Displays basic collaborative maturity, though consistency against professional readiness and final output expectations needs improvement.</t>
  </si>
  <si>
    <t>Requires substantial significant improvement in collaborative maturity to meet professional readiness and final output expectations.</t>
  </si>
  <si>
    <t>Screenwriting: Actively engages with reading and analysis of stories, applying learnings to their own writing work.</t>
  </si>
  <si>
    <t>Direction: Shows initiative in exploring different filmmaking approaches through case studies and practical exercises.</t>
  </si>
  <si>
    <t>Production: Demonstrates a powerful sense of resolve; the work is not only well-produced but carries the weight of clear, craftsmanship.</t>
  </si>
  <si>
    <t>Cinematography: Overall work reflects clarity of intent, control over fundamentals, and strong visual awareness.</t>
  </si>
  <si>
    <t>Sound Design: Demonstrates high-level control and clarity in all the Semester I learning outcomes.</t>
  </si>
  <si>
    <t>Editing: Maintains strong balance between progression, emotion, and technical execution across assignments. Minor refinements needed in timing or shot choice.</t>
  </si>
  <si>
    <t>Screenwriting: Demonstrates engagement with reading tasks, but application of insights into writing remains limited.</t>
  </si>
  <si>
    <t>Direction: Demonstrates familiarity with different filmmaking approaches, but lacks strong personal interpretation.</t>
  </si>
  <si>
    <t>Production: The production shows good internal logic and structure, requiring only minor adjustments to achieve high-level clarity.</t>
  </si>
  <si>
    <t>Cinematography: Overall work is competent, with clear scope for refinement in both technical and visual decisions.</t>
  </si>
  <si>
    <t>Sound Design: Shows good understanding and execution in all the Semester I learning outcomes.</t>
  </si>
  <si>
    <t>Editing: Story is understandable. Refinement needed in pacing, emotional beats, and shot arrangement.</t>
  </si>
  <si>
    <t>Screenwriting: Shows minimal engagement with reading and analysis tasks, affecting writing quality.</t>
  </si>
  <si>
    <t>Direction: Shows limited effort in exploring or applying different filmmaking approaches.</t>
  </si>
  <si>
    <t>Production: Demonstrates a developing control over the medium, though further practice is needed to manage tools with steady consistency.</t>
  </si>
  <si>
    <t>Cinematography: Overall work meets basic requirements but lacks clarity and control in execution.</t>
  </si>
  <si>
    <t>Sound Design: Basic capability in all the Semester I learning outcomes.</t>
  </si>
  <si>
    <t>Editing: Basic understanding present, but progression, emotion, and technical execution are inconsistent.</t>
  </si>
  <si>
    <t>Screenwriting: Fails to engage with reading or analysis tasks required for the course.</t>
  </si>
  <si>
    <t>Direction: Shows no initiative in engaging with course content or practical exercises.</t>
  </si>
  <si>
    <t>Production: Work produced is sporadic in quality, indicating that a more disciplined and consistent approach to production is essential.</t>
  </si>
  <si>
    <t>Cinematography: Overall work reflects insufficient understanding of fundamental concepts and requires substantial improvement.</t>
  </si>
  <si>
    <t>Sound Design: Requires significant improvement in all the Semester I learning outcomes.</t>
  </si>
  <si>
    <t>Editing: Shows limited grasp of progression, continuity, pacing, and basic editing tools.</t>
  </si>
  <si>
    <t>Screenwriting: Integrates writing with visual thinking, ensuring scenes are cinematic and performable.</t>
  </si>
  <si>
    <t>Direction: Shows maturity in handling complex staging situations, including working with VFX-based or virtual elements.</t>
  </si>
  <si>
    <t>Production: The work exhibits a rare level of clarity; the student’s vision is translated perfectly through strong execution and discipline.</t>
  </si>
  <si>
    <t>Cinematography: Establishes clear and appropriate lighting plans suited to the scene’s requirements.</t>
  </si>
  <si>
    <t>Sound Design: Demonstrates high-level control and clarity in all the Semester II learning outcomes.</t>
  </si>
  <si>
    <t>Editing: Demonstrates confident and creative editing choices across areas. Minor inconsistencies in continuity or clarity due to experimentation.</t>
  </si>
  <si>
    <t>Screenwriting: Shows an understanding of cinematic writing, though execution lacks impact.</t>
  </si>
  <si>
    <t>Direction: Engages with advanced staging concepts, though execution remains uneven.</t>
  </si>
  <si>
    <t>Production: Shows a clear ability to execute ideas effectively, with a steady trajectory toward higher-level production standards.</t>
  </si>
  <si>
    <t>Cinematography: Attempts to establish a lighting plan, though execution lacks precision.</t>
  </si>
  <si>
    <t>Sound Design: Shows good understanding and execution in all the Semester II learning outcomes.</t>
  </si>
  <si>
    <t>Editing: Shot choices and compositions support storytelling. Sound, silence, and dialogue layering are not fully utilised.</t>
  </si>
  <si>
    <t>Screenwriting: Writing lacks cinematic quality, making scenes difficult to visualize or perform.</t>
  </si>
  <si>
    <t>Direction: Struggles to handle complex staging situations, including those involving VFX or spatial planning.</t>
  </si>
  <si>
    <t>Production: The work is functional, but lacks the stability and refinement seen when production methods are applied with full confidence.</t>
  </si>
  <si>
    <t>Cinematography: Lacks sufficient planning in lighting setup for the scene.</t>
  </si>
  <si>
    <t>Sound Design: Basic capability in all the Semester II learning outcomes.</t>
  </si>
  <si>
    <t>Screenwriting: Fails to demonstrate basic screenwriting skills required for the course.</t>
  </si>
  <si>
    <t>Direction: Does not engage with the practical requirements of directing exercises.</t>
  </si>
  <si>
    <t>Production: While effort is noted, the lack of fundamental control over the medium makes it difficult to achieve a successful final outcome.</t>
  </si>
  <si>
    <t>Cinematography: Does not establish a lighting plan or demonstrate understanding of scene requirements.</t>
  </si>
  <si>
    <t>Sound Design: Requires significant improvement in all the Semester II learning outcomes.</t>
  </si>
  <si>
    <t>Editing: Editing shows minimal understanding of narrative, rhythm, montage, or technical execution.</t>
  </si>
  <si>
    <t>Direction: Demonstrates strong planning and execution, though sharper focus in edit could enhance narrative precision.</t>
  </si>
  <si>
    <t>Production: Operates with a high degree of autonomy, consistently delivering outcomes that exceed the standard expectations for the semester.</t>
  </si>
  <si>
    <t>Screenwriting: Overall work reflects high-level integration of narrative theory, structure, genre, and writing craft. Dialogue, subtext, and visual storytelling are consistently controlled and purposeful.</t>
  </si>
  <si>
    <t>Cinematography: Plans and executes lighting setups effectively, translating concepts into well-crafted visuals.</t>
  </si>
  <si>
    <t>Editing: Maintains strong integration of narrative, rhythm, technical execution, and workflow. Documentary handling is clear and purposeful, with minor refinements needed in timing or sound layering.</t>
  </si>
  <si>
    <t>Sound Design: Demonstrated strong execution in all the learning outcomes of Semester III</t>
  </si>
  <si>
    <t>Delivers strong effect execution in visual effects, aligned with interpretation and emerging craft ownership and executed with confidence.</t>
  </si>
  <si>
    <t>Direction: Executes planning sufficiently, though editing choices lack sharpness and intent.</t>
  </si>
  <si>
    <t>Production: Maintains a solid standard of production throughout the semester, proving a reliable ability to handle sophisticated project demands.</t>
  </si>
  <si>
    <t>Screenwriting: Research and development are evident, though world-building and pre-visualisation can be more detailed. Visual elements are present but underutilised.</t>
  </si>
  <si>
    <t>Cinematography: Plans lighting setups with basic structure, though execution lacks precision.</t>
  </si>
  <si>
    <t>Editing: Demonstrates understanding across narrative, rhythm, and workflow, but struggles to integrate them into a cohesive whole.</t>
  </si>
  <si>
    <t>Sound Design: Shows good understanding of Sound Editing with scope for improvement in Production Sound Recording and Sound Fx Design</t>
  </si>
  <si>
    <t>Communicates good effect execution in visual effects, aligned with interpretation and emerging craft ownership, with room for stronger polish.</t>
  </si>
  <si>
    <t>Direction: Planning is evident but execution lacks clarity and coherence.</t>
  </si>
  <si>
    <t>Production: Shows a developing ability to handle advanced tools, but lacks the consistent control necessary for sophisticated execution.</t>
  </si>
  <si>
    <t>Screenwriting: Overall work meets basic requirements but lacks clarity, structure, and consistency across narrative, genre, and writing craft elements.</t>
  </si>
  <si>
    <t>Cinematography: Demonstrates minimal planning in lighting setup and execution.</t>
  </si>
  <si>
    <t>Editing: Basic understanding of narrative, rhythm, and workflow, but execution is inconsistent across technical and creative aspects.</t>
  </si>
  <si>
    <t>Sound Design: Basic capability in doing Sound Fx Design; needs more practice in Production Sound Recording</t>
  </si>
  <si>
    <t>Reflects basic effect execution in visual effects, though consistency against interpretation and emerging craft ownership expectations needs improvement.</t>
  </si>
  <si>
    <t>Direction: Inadequate planning and execution across all stages of production.</t>
  </si>
  <si>
    <t>Production: Significant improvement is needed in interpreting and executing project briefs to ensure outcomes meet the minimum criteria.</t>
  </si>
  <si>
    <t>Screenwriting: Minimal or no evidence of research, development, or pre-visualisation. Visual writing is absent or unclear.</t>
  </si>
  <si>
    <t>Cinematography: Does not demonstrate planning or understanding in lighting execution.</t>
  </si>
  <si>
    <t>Editing: Shows limited grasp of filmic time, rhythm, documentary structuring, and technical workflow.</t>
  </si>
  <si>
    <t>Sound Design: Requires significant improvement in Production Sound Recording and team collaboration</t>
  </si>
  <si>
    <t>Shows weak control over effect execution in visual effects, and requires substantial improvement against interpretation and emerging craft ownership expectations.</t>
  </si>
  <si>
    <t>Direction: Demonstrates professional workflow and leadership, with potential to take more creative risks.</t>
  </si>
  <si>
    <t>Production: Outcomes are articulated with absolute clarity, demonstrating a mature control over the relationship between process and final product.</t>
  </si>
  <si>
    <t>Screenwriting: Dialogue, subtext, and visual writing are consistently controlled, with scenes driven by conflict, mood, and cinematic clarity.</t>
  </si>
  <si>
    <t>Cinematography: Establishes strong color continuity through effective correction and grading workflows.</t>
  </si>
  <si>
    <t>Editing: Shows consistent integration of spatial reading, temporal structuring, advanced cutting techniques, and professional workflow from ingestion to final delivery, with minor refinements needed.</t>
  </si>
  <si>
    <t>Sound Design: Demonstrates efficiency in handling Dubbing works independently; displays excellent skills in Sound Editing and Music Design</t>
  </si>
  <si>
    <t>Delivers strong effect execution in visual effects, aligned with craft control and execution and executed with confidence.</t>
  </si>
  <si>
    <t>Direction: Follows workflow processes adequately, though pre-production planning can be more detailed.</t>
  </si>
  <si>
    <t>Production: Shows a reliable degree of autonomy in execution, demonstrating a clear path toward professional-grade production standards.</t>
  </si>
  <si>
    <t>Screenwriting: Dialogue is functional but occasionally expository; subtext and visual storytelling are present but not consistently sustained.</t>
  </si>
  <si>
    <t>Cinematography: Applies basic color correction techniques, though consistency across shots can improve.</t>
  </si>
  <si>
    <t>Editing: Covers spatial, temporal, and technical aspects adequately, but lacks depth in advanced concepts and pipeline precision.</t>
  </si>
  <si>
    <t>Sound Design: Applies creativity in doing Ambience design and Sound Effects Design; needs to handle Dubbing independently</t>
  </si>
  <si>
    <t>Communicates good effect execution in visual effects, aligned with craft control and execution, with room for stronger polish.</t>
  </si>
  <si>
    <t>Direction: Workflow understanding is basic, though execution lacks organization and planning.</t>
  </si>
  <si>
    <t>Production: The final work meets the minimum standard; however, greater technical exactness is needed to stabilize the overall quality.</t>
  </si>
  <si>
    <t>Screenwriting: Dialogue is direct and expository, with minimal subtext; scenes rely more on telling than visual storytelling.</t>
  </si>
  <si>
    <t>Cinematography: Applies color correction inconsistently, affecting visual continuity.</t>
  </si>
  <si>
    <t>Editing: Basic understanding present, but spatial, temporal, technical, and workflow integration is inconsistent.</t>
  </si>
  <si>
    <t>Sound Design: Basic capability in all the subject of Semester IV; lacks consistency and precision in any of it</t>
  </si>
  <si>
    <t>Reflects basic effect execution in visual effects, though consistency against craft control and execution expectations needs improvement.</t>
  </si>
  <si>
    <t>Direction: Shows limited understanding of workflow, requiring substantial improvement in planning and execution.</t>
  </si>
  <si>
    <t>Production: The work does not yet demonstrate the level of control or clarity necessary to align with final-year performance standards.</t>
  </si>
  <si>
    <t>Screenwriting: Requires significant improvement in fundamentals and execution for sem iv (8).</t>
  </si>
  <si>
    <t>Editing: Limited grasp of spatial editing, time structuring, advanced cutting, and professional workflow.</t>
  </si>
  <si>
    <t>Sound Design: Lacks sense of syncing and tonal quality in Sound Effects Laying</t>
  </si>
  <si>
    <t>Shows weak control over effect execution in visual effects, and requires substantial improvement against craft control and execution expectations.</t>
  </si>
  <si>
    <t>Direction: Demonstrates strong planning and execution, though refinement in episodic cliffhangers could elevate impact.</t>
  </si>
  <si>
    <t>Production: The work displays a powerful sense of resolve; the student’s intent is clearly articulated through a flawless and intentional execution.</t>
  </si>
  <si>
    <t>Screenwriting: Shows strong conceptual clarity in selecting and developing feature ideas, with clear awareness of scalability, narrative sustainability, and adaptation potential.</t>
  </si>
  <si>
    <t>Cinematography: Matches shots and grades footage effectively across different cameras, ensuring visual continuity.</t>
  </si>
  <si>
    <t>Editing: Demonstrates strong integration of genre, time structuring, montage, VFX, workflow, and collaboration. Minor refinements needed in either expressive depth or technical precision.</t>
  </si>
  <si>
    <t>Sound Design: Demostrates good aesthetic sense of Sound Track laying aligning with the narrative of the film</t>
  </si>
  <si>
    <t>Delivers strong effect execution in visual effects, aligned with advanced workflow and collaboration and executed with confidence.</t>
  </si>
  <si>
    <t>Direction: Develops narrative progression, though episode endings lack strong dramatic hooks.</t>
  </si>
  <si>
    <t>Production: Outcomes are solid and professional, showing a clear pathway toward mastering the most intricate elements of the curriculum.</t>
  </si>
  <si>
    <t>Screenwriting: Shows understanding of structural choices, though connection between form, theme, and audience impact is not consistently realised.</t>
  </si>
  <si>
    <t>Cinematography: Applies color correction and matching techniques, though consistency across shots can improve.</t>
  </si>
  <si>
    <t>Editing: Shows awareness across genre, time, montage, VFX, and workflow, but struggles to integrate them into a unified edit.</t>
  </si>
  <si>
    <t>Sound Design: Constructs a good Audio Mix for a given set of Dialog, Music, Effects tracks; needs better proficiency in Dubbing, Foley and Music recording</t>
  </si>
  <si>
    <t>Communicates good effect execution in visual effects, aligned with advanced workflow and collaboration, with room for stronger polish.</t>
  </si>
  <si>
    <t>Direction: Planning is evident but execution lacks clarity and refinement.</t>
  </si>
  <si>
    <t>Production: The work is functional and complete, but requires greater exactness to move beyond a basic, entry-level standard of production.</t>
  </si>
  <si>
    <t>Screenwriting: Feature concepts show limited awareness of scale, with ideas that do not sustain long-form development.</t>
  </si>
  <si>
    <t>Editing: Basic understanding present, but genre, time structuring, montage, workflow, and collaboration are inconsistent.</t>
  </si>
  <si>
    <t>Sound Design: Basic capability in handling Dubbing and Foley recording independently; needs to significantly improve skills of Sound Editing</t>
  </si>
  <si>
    <t>Reflects basic effect execution in visual effects, though consistency against advanced workflow and collaboration expectations needs improvement.</t>
  </si>
  <si>
    <t>Direction: Shows limited understanding of VOD storytelling and collaborative workflow.</t>
  </si>
  <si>
    <t>Production: Demonstrates limited control over the medium; significant intervention is needed to reach the baseline standard for Semester.</t>
  </si>
  <si>
    <t>Screenwriting: Feature concepts lack viability, with no evidence of long-form thinking or development potential.</t>
  </si>
  <si>
    <t>Cinematography: Does not demonstrate control in color correction or shot matching.</t>
  </si>
  <si>
    <t>Editing: Limited grasp of genre, montage, workflow, VFX integration, and narrative construction.</t>
  </si>
  <si>
    <t>Sound Design: Requires significant improvement in Noise Reduction, Spectral processing and balancing of instruments in a Mix</t>
  </si>
  <si>
    <t>Shows weak control over effect execution in visual effects, and requires substantial improvement against advanced workflow and collaboration expectations.</t>
  </si>
  <si>
    <t>Direction: Delivers a polished final film within constraints, while sharpening precision in editing and rhythm.</t>
  </si>
  <si>
    <t>Production: The final work is articulated with absolute clarity, showing a sophisticated command over the relationship between process and product.</t>
  </si>
  <si>
    <t>Screenwriting: Constructs a comprehensive show bible, clearly presenting concept, world, character grid, and season-level progression.</t>
  </si>
  <si>
    <t>Cinematography: Presents a professional portfolio that reflects readiness for industry expectations.</t>
  </si>
  <si>
    <t>Editing: Balanced across creative, technical, and professional aspects. Shows readiness for industry with consistent workflow and collaboration. Minor inconsistencies remain in documentation depth or finishing polish.</t>
  </si>
  <si>
    <t>Sound Design: Builds a well structured Soundtrack narrative from a given script and storyline to the systematic execution of the film</t>
  </si>
  <si>
    <t>Delivers strong effect execution in visual effects, aligned with professional readiness and final output and executed with confidence.</t>
  </si>
  <si>
    <t>Direction: Completes the film within duration, though overall polish and refinement can improve.</t>
  </si>
  <si>
    <t>Production: Shows a reliable ability to execute complex ideas, moving toward a professional standard with only minor areas left for further polishing.</t>
  </si>
  <si>
    <t>Screenwriting: Show bible communicates the core idea, though world-building and series progression require strengthening.</t>
  </si>
  <si>
    <t>Cinematography: Presents a portfolio that meets expectations, with scope for stronger positioning.</t>
  </si>
  <si>
    <t>Editing: Balanced understanding across editing, workflow, and collaboration. However, lacks consistency in execution and professional discipline required for industry readiness.</t>
  </si>
  <si>
    <t>Sound Design: Shows good techical proficiency in Sound Design; requires to develop an aptitude of doing research on techniques and methods of Sound Design</t>
  </si>
  <si>
    <t>Communicates good effect execution in visual effects, aligned with professional readiness and final output, with room for stronger polish.</t>
  </si>
  <si>
    <t>Direction: Meets duration requirement, though film lacks refinement and clarity.</t>
  </si>
  <si>
    <t>Production: The work is complete and meets the brief, but requires a more rigorous and precise approach to achieve a cohesive and polished result.</t>
  </si>
  <si>
    <t>Screenwriting: Show bible is incomplete, lacking clarity in concept, characters, and overall series direction.</t>
  </si>
  <si>
    <t>Cinematography: Presents a portfolio that lacks clarity and professional presentation.</t>
  </si>
  <si>
    <t>Editing: Uneven across creative, technical, and professional areas. Requires more structured practice and application.</t>
  </si>
  <si>
    <t>Sound Design: Average level performance in Production Sound Recording; requires significant improvement in innovation and creativity in Sound Design in a film</t>
  </si>
  <si>
    <t>Reflects basic effect execution in visual effects, though consistency against professional readiness and final output expectations needs improvement.</t>
  </si>
  <si>
    <t>Direction: Struggles to meet duration or deliverable standards, requiring significant improvement.</t>
  </si>
  <si>
    <t>Production: Currently demonstrates a level of control over the medium that is below the threshold for professional entry or successful course completion.</t>
  </si>
  <si>
    <t>Screenwriting: Show bible is absent or lacks coherent articulation of concept and series design.</t>
  </si>
  <si>
    <t>Cinematography: Submits a portfolio that does not meet expected professional standards.</t>
  </si>
  <si>
    <t>Editing: Minimal understanding across editing, workflow, and professional expectations.</t>
  </si>
  <si>
    <t>Sound Design: Requires significant improvement in cultivating unique styles and innovations done by eminent Sound Designers</t>
  </si>
  <si>
    <t>Shows weak control over effect execution in visual effects, and requires substantial improvement against professional readiness and final output expectations.</t>
  </si>
  <si>
    <t>Delivers strong idea development, aligned with professional readiness and final output and executed with confidence.</t>
  </si>
  <si>
    <t>Communicates good idea development, aligned with professional readiness and final output, with room for stronger polish.</t>
  </si>
  <si>
    <t>Reflects basic idea development, though consistency against professional readiness and final output expectations needs improvement.</t>
  </si>
  <si>
    <t>Shows weak control over idea development, and requires substantial improvement against professional readiness and final output expectations.</t>
  </si>
  <si>
    <t>Delivers strong output consistency, aligned with professional readiness and final output and executed with confidence.</t>
  </si>
  <si>
    <t>Communicates good output consistency, aligned with professional readiness and final output, with room for stronger polish.</t>
  </si>
  <si>
    <t>Reflects basic output consistency, though consistency against professional readiness and final output expectations needs improvement.</t>
  </si>
  <si>
    <t>Shows weak control over output consistency, and requires substantial improvement against professional readiness and final output expectations.</t>
  </si>
  <si>
    <t>Delivers strong work ethic, aligned with professional readiness and final output and executed with confidence.</t>
  </si>
  <si>
    <t>Communicates good work ethic, aligned with professional readiness and final output, with room for stronger polish.</t>
  </si>
  <si>
    <t>Reflects basic work ethic, though consistency against professional readiness and final output expectations needs improvement.</t>
  </si>
  <si>
    <t>Shows weak control over work ethic, and requires substantial improvement against professional readiness and final output expectations.</t>
  </si>
  <si>
    <t>Craft</t>
  </si>
  <si>
    <t>Grade</t>
  </si>
  <si>
    <t>Comment</t>
  </si>
  <si>
    <t>Direction: Applies visual storytelling techniques such as composition, camera angles, and continuity with clarity and purpose.</t>
  </si>
  <si>
    <t>Direction: Demonstrates a strong understanding of continuity and visual planning, ensuring clarity in scene progression and cinematic connection.</t>
  </si>
  <si>
    <t>Direction: Actively engages in collaborative exercises, contributing effectively to camera, edit, and sound integration.</t>
  </si>
  <si>
    <t>Direction: Demonstrates working knowledge of visual storytelling techniques and can further improve consistency in execution.</t>
  </si>
  <si>
    <t>Direction: Understands the basics of continuity and decoupage and can further develop clarity in complex scenes.</t>
  </si>
  <si>
    <t>Direction: Maintains a film diary and can further improve consistency and depth in reflections.</t>
  </si>
  <si>
    <t>Direction: Participates in collaborative exercises and can contribute more proactively to collaborative processes.</t>
  </si>
  <si>
    <t>Direction: Shows awareness of time and space in scenes and can further improve precision in execution.</t>
  </si>
  <si>
    <t>Direction: Demonstrates familiarity with different filmmaking approaches, can develop strong personal interpretation.</t>
  </si>
  <si>
    <t>Direction: Can further improve engagement with film analysis by moving beyond surface-level observations.</t>
  </si>
  <si>
    <t>Direction: Can further develop the application of visual storytelling principles to achieve clearer visual communication.</t>
  </si>
  <si>
    <t>Direction: Observational exercises can be further developed with greater clarity and structure in visual narratives.</t>
  </si>
  <si>
    <t>Direction: Can further develop understanding of continuity to achieve greater consistency in scene construction.</t>
  </si>
  <si>
    <t>Direction: Film diary can be improved through more consistent reflection and critical engagement.</t>
  </si>
  <si>
    <t>Direction: Can maximize participation in collaborative exercises to strengthen overall output.</t>
  </si>
  <si>
    <t>Direction: Can further improve understanding of spatial and temporal relationships within scenes.</t>
  </si>
  <si>
    <t>Direction: Can further explore and apply different filmmaking approaches through practical exercises.</t>
  </si>
  <si>
    <t>Direction: Can engage more actively with film analysis to strengthen understanding of cinematic language.</t>
  </si>
  <si>
    <t>Direction: Can further develop the application of fundamental visual storytelling principles such as composition and continuity.</t>
  </si>
  <si>
    <t>Direction: Can engage more meaningfully with observational exercises to develop narrative interpretation skills.</t>
  </si>
  <si>
    <t>Direction: Can improve understanding of continuity and decoupage to achieve clearer and more coherent scene construction.</t>
  </si>
  <si>
    <t>Direction: Film diary can be further developed to meet academic requirements with greater reflection and consistency.</t>
  </si>
  <si>
    <t>Direction: Can participate more actively in collaborative exercises to strengthen learning and group contribution.</t>
  </si>
  <si>
    <t>Direction: Can further develop understanding of time and space in filmmaking through practical exercises.</t>
  </si>
  <si>
    <t>Direction: Can show greater initiative in engaging with course content and practical exercises.</t>
  </si>
  <si>
    <t>Screenwriting: Effectively develops characters with clear motivations that contribute to meaningful narrative progression.</t>
  </si>
  <si>
    <t>Screenwriting: Actively engages with reading and analysis of stories, applying insights to their own writing practice</t>
  </si>
  <si>
    <t>Screenwriting: Demonstrates familiarity with story fundamentals, with scope to further strengthen consistency in handling conflict and character motivation.</t>
  </si>
  <si>
    <t>Screenwriting: Writes with basic clarity, and can further enhance scenes by developing stronger visual and cinematic detail.</t>
  </si>
  <si>
    <t>Screenwriting: Understands the three-act structure, though narrative progression can be developed further to feel more engaging and dynamic.</t>
  </si>
  <si>
    <t>Screenwriting: Shows effort in creative writing, with scope to further strengthen originality and depth.</t>
  </si>
  <si>
    <t>Screenwriting: Develops characters with some clarity, with scope to build stronger individuality and depth.</t>
  </si>
  <si>
    <t>Screenwriting: Demonstrates engagement with reading tasks, though application of insights into writing is still developing.</t>
  </si>
  <si>
    <t>Screenwriting: Shows developing clarity in concept development, though ideas still need stronger focus and refinement.</t>
  </si>
  <si>
    <t>Screenwriting: Shows partial understanding of story fundamentals, with scope to strengthen clarity in conflict development.</t>
  </si>
  <si>
    <t>Screenwriting: Writing shows developing visual clarity, with scope to better translate ideas into cinematic scenes.</t>
  </si>
  <si>
    <t>Screenwriting: Shows developing understanding of story structure, though narratives may feel uneven or incomplete at times.</t>
  </si>
  <si>
    <t>Screenwriting: Creative writing exercises show scope for further development in originality and depth, moving beyond predictable ideas.</t>
  </si>
  <si>
    <t>Screenwriting: Characters show emerging development, though motivations and narrative contribution can be strengthened.</t>
  </si>
  <si>
    <t>Screenwriting: Observational exercises show potential, though translation into usable story material needs further development.</t>
  </si>
  <si>
    <t>Screenwriting: Shows developing engagement with reading and analysis tasks, with scope to further strengthen application in writing.</t>
  </si>
  <si>
    <t>Screenwriting: Shows emerging understanding of concept development, though ideas require further clarity and completion.</t>
  </si>
  <si>
    <t>Screenwriting: Shows emerging familiarity with basic story elements such as premise, conflict, and character, with scope for stronger understanding.</t>
  </si>
  <si>
    <t>Screenwriting: Writing shows limited clarity and needs further development to achieve cinematic readability as a screenplay.</t>
  </si>
  <si>
    <t>Screenwriting: Shows early-stage understanding of basic story structure, with scope for further development.</t>
  </si>
  <si>
    <t>Screenwriting: Creative writing exercises show scope for greater completion and development of ideas.</t>
  </si>
  <si>
    <t>Screenwriting: Characters show early-stage development and need further clarity in definition and purpose.</t>
  </si>
  <si>
    <t>Screenwriting: Observational and ideation exercises show initial engagement, with scope for further development.</t>
  </si>
  <si>
    <t>Screenwriting: Engagement with reading and analysis tasks is developing, with scope to strengthen participation and application.</t>
  </si>
  <si>
    <t>Demonstrates clear and confident control over exposure and colour, maintaining consistency across shots.</t>
  </si>
  <si>
    <t>Applies lenses and depth of field purposefully to enhance visual storytelling.</t>
  </si>
  <si>
    <t>Uses composition and camera angles thoughtfully to create engaging and well-structured frames.</t>
  </si>
  <si>
    <t>Maintains strong continuity, ensuring smooth visual flow across shots.</t>
  </si>
  <si>
    <t>Utilizes close-ups and framing effectively to communicate intent and guide viewer attention.</t>
  </si>
  <si>
    <t>Maintains consistent technical control over exposure and white balance throughout.</t>
  </si>
  <si>
    <t>Demonstrates a strong understanding of visual storytelling through deliberate and effective choices.</t>
  </si>
  <si>
    <t>Overall work reflects clarity of intent, technical control and strong visual awareness.</t>
  </si>
  <si>
    <t>Demonstrates a good understanding of exposure and colour, with scope to improve consistency across shots.</t>
  </si>
  <si>
    <t>Applies lenses and depth of field with awareness and can refine control to strengthen visual impact.</t>
  </si>
  <si>
    <t>Uses composition and camera angles effectively in parts, with greater consistency enhancing overall frame quality.</t>
  </si>
  <si>
    <t>Maintains basic continuity and can improve visual flow by refining shot transitions.</t>
  </si>
  <si>
    <t>Uses close-ups and framing with intent and can strengthen their impact through more purposeful application.</t>
  </si>
  <si>
    <t>Maintains generally sound technical control, with further refinement in exposure and white balance improving consistency.</t>
  </si>
  <si>
    <t>Shows a clear understanding of visual storytelling, with more deliberate choices can strengthen narrative clarity.</t>
  </si>
  <si>
    <t>Overall work is competent and well-structured, with clear potential to refine both technical control and visual decisions.</t>
  </si>
  <si>
    <t>Shows a basic understanding of exposure and colour and can improve by developing more consistent control across shots.</t>
  </si>
  <si>
    <t>Applies lenses and depth of field at a basic level and can strengthen their impact through more purposeful use.</t>
  </si>
  <si>
    <t>Composition and camera angles show initial application and can improve by making clearer framing decisions.</t>
  </si>
  <si>
    <t>Maintains continuity in parts and can strengthen overall flow by paying closer attention to shot connections.</t>
  </si>
  <si>
    <t>Uses close-ups and framing with some intent and can improve their effectiveness by aligning them more clearly with the narrative.</t>
  </si>
  <si>
    <t>Technical execution shows inconsistency and can improve through more careful control of exposure and white balance.</t>
  </si>
  <si>
    <t>Demonstrates a developing understanding of visual storytelling and can grow by making more deliberate visual choices.</t>
  </si>
  <si>
    <t>Overall work reflects a basic level of understanding and can be strengthened through consistent practice and refinement.</t>
  </si>
  <si>
    <t>Is at an early stage in understanding exposure and colour and should focus on building consistent control across shots.</t>
  </si>
  <si>
    <t>Is beginning to explore lenses and depth of field and can improve by learning how they shape the image.</t>
  </si>
  <si>
    <t>Composition and camera angles require further development and can improve by focusing on basic framing principles.</t>
  </si>
  <si>
    <t>Continuity across shots needs attention and can be developed by practicing simple shot connections and screen direction.</t>
  </si>
  <si>
    <t>Close-ups and framing need clearer intent and can improve by understanding their role in storytelling.</t>
  </si>
  <si>
    <t>Technical control of exposure and white balance requires development and can be strengthened through guided practice.</t>
  </si>
  <si>
    <t>Understanding of visual storytelling is at an early stage and can grow by focusing on how shots communicate meaning.</t>
  </si>
  <si>
    <t>Overall work indicates the need to build stronger foundational skills, which can be developed through consistent practice and guidance.</t>
  </si>
  <si>
    <t>Editing: Demonstrates strong control over continuity, progression, and emotional timing. Continue refining shot duration and emotional layering to develop greater precision in storytelling.</t>
  </si>
  <si>
    <t>Editing: Shows confident shot arrangement and clear viewer guidance. Further explore expressive pacing and reaction timing to deepen emotional impact.</t>
  </si>
  <si>
    <t>Editing: Uses pauses and rhythm effectively to shape scenes. Focus on improving continuity precision and transition smoothness for a more polished output.</t>
  </si>
  <si>
    <t>Editing: Strong technical execution and clear narrative progression are evident. Continue developing more nuanced emotional shaping through shot selection and timing.</t>
  </si>
  <si>
    <t>Editing: Demonstrates good understanding of expressive cutting beyond functional continuity. Refine pacing choices further to strengthen dramatic emphasis.</t>
  </si>
  <si>
    <t>Editing: Shot duration and progression are handled with maturity. Continue experimenting with emotional rhythm and viewer attention control.</t>
  </si>
  <si>
    <t>Editing: Frames, inserts, and shot sizes are used purposefully. Improve timing precision further to enhance narrative flow and engagement.</t>
  </si>
  <si>
    <t>Editing: Maintains a strong balance between storytelling, emotion, and technical execution. Continue pushing creative choices to build a more distinct editorial voice.</t>
  </si>
  <si>
    <t>Editing: Narrative progression is clear and continuity is maintained well. Focus on moving beyond functional cutting to create stronger emotional expression.</t>
  </si>
  <si>
    <t>Editing: Demonstrates reliable technical execution in Adobe Premiere Pro. Develop more confidence in shaping mood through timing and pauses.</t>
  </si>
  <si>
    <t>Editing: Shot sequencing supports story clarity. Continue improving emotional intention so scenes feel less mechanical and more expressive.</t>
  </si>
  <si>
    <t>Editing: Editing choices communicate the story effectively. Focus on using shot duration more purposefully to strengthen rhythm and engagement.</t>
  </si>
  <si>
    <t>Editing: Shows good understanding of continuity principles. Develop stronger emotional layering and reaction timing within scenes.</t>
  </si>
  <si>
    <t>Editing: Some strong emotional moments are visible. Improve consistency in pacing and continuity across the full sequence.</t>
  </si>
  <si>
    <t>Editing: Demonstrates effort to shape progression beyond basic cuts. Continue refining shot arrangement for stronger narrative emphasis.</t>
  </si>
  <si>
    <t>Editing: Storytelling intent is visible and technically stable. Focus on pacing, emotional beats, and viewer engagement to reach a more advanced level.</t>
  </si>
  <si>
    <t>Editing: Basic continuity and sequencing are visible. Focus on shaping clearer emotional progression through timing, pauses, and reactions.</t>
  </si>
  <si>
    <t>Editing: Demonstrates understanding of shot placement. Improve narrative flow so scenes build stronger meaning and engagement.</t>
  </si>
  <si>
    <t>Editing: Some variation in shot choices is present. Develop more purposeful framing and editing decisions to support storytelling.</t>
  </si>
  <si>
    <t>Editing: Shows effort in scene construction. Focus on controlling pacing more carefully to avoid uneven rhythm.</t>
  </si>
  <si>
    <t>Editing: Basic technical handling is visible. Spend more time practising Adobe Premiere Pro workflows to reduce rough cuts and timing inconsistencies.</t>
  </si>
  <si>
    <t>Editing: Action and continuity are understandable. Develop stronger emotional shaping through pauses, reactions, and shot duration.</t>
  </si>
  <si>
    <t>Editing: Narrative intent is present in parts. Improve scene connections and progression to create smoother continuity.</t>
  </si>
  <si>
    <t>Editing: Engagemnet and participation in exercises is visible. Build consistency across progression, emotional timing, and technical execution to reach the expected standard.</t>
  </si>
  <si>
    <t>Editing: Demonstrates basic effort in assembling scenes. Focus on understanding how shot order creates meaning and progression for clearer storytelling.</t>
  </si>
  <si>
    <t>Editing: Some continuity principles are visible. Improve cut choices and transitions to maintain smoother viewer flow and orientation.</t>
  </si>
  <si>
    <t>Editing: Shows extreme willingness to experiment with pacing. Pause and reflect to develop logical control over shot duration to avoid rushing or stagnanting scenes.</t>
  </si>
  <si>
    <t>Editing: Basic scene structure is present. Focus on selecting shots that better support emotional intent and narrative clarity.</t>
  </si>
  <si>
    <t>Editing: Traces of initial familiarity with editing software is visible. Spend more time practising Adobe Premiere Pro tools and workflows to improve output quality.</t>
  </si>
  <si>
    <t>Editing: Attempts to construct emotional moments are visible. Improve the use of reactions, pauses, and rhythm to build audience engagement.</t>
  </si>
  <si>
    <t>Editing: Regular attendance and active involvement in classroom exercises and productions are necessary to build confidence in editing practice, workflow management, and collaborative learning.</t>
  </si>
  <si>
    <t>Editing: Participation in the editing process is visible. Continue practising progression, pacing, continuity, and technical workflows to reach the expected course level.</t>
  </si>
  <si>
    <t>Sound Design: Demonstrates high-level clarity in Human Auditory System. Continue observing the real world soundscapes on a daily basis.</t>
  </si>
  <si>
    <t>Sound Design: Demonstrates high-level clarity in Properties and Behaviour of Sound &amp; Aural Perception vs Microphone Behaviour. Observe and analyse self-aural behaviour in everyday life.</t>
  </si>
  <si>
    <t>Sound Design: Demonstrates high-level clarity in Audio-Visual Relationships &amp; Spatial and Temporal Relationships of Sound. Research into variations in familiar soundscapes through the days and seasons.</t>
  </si>
  <si>
    <t>Sound Design: Demonstrates high-level control and clarity in Portable Audio Recording Devices. Explore all the features available of the devices.</t>
  </si>
  <si>
    <t>Sound Design: Demonstrates high-level control and clarity in Location Sound Recording. Keep practising to achieve smoother consistent recordings.</t>
  </si>
  <si>
    <t>Sound Design: Demonstrates high-level clarity in Recording &amp; Editing Ambiences. Work towards decoding the individual layers of the ambience recordings.</t>
  </si>
  <si>
    <t>Sound Design: Demonstrates high-level clarity in Editing &amp; Mixing Sound Elements using Sound Editing Software. Work towards achieving better mixes for more narrative impact.</t>
  </si>
  <si>
    <t>Sound Design: Demonstrates high-level control and clarity in all the Semester I learning outcomes. Practice more with different raw materials across different genres.</t>
  </si>
  <si>
    <t>Sound Design: Shows good understanding in Human Auditory System. Focus on understanding the workings of the human ear more.</t>
  </si>
  <si>
    <t>Sound Design: Shows good understanding in Properties and Behaviour of Sound &amp; Aural Perception vs Microphone Behaviour. Actively analyse self hearing patterns.</t>
  </si>
  <si>
    <t>Sound Design: Shows good understanding in Audio-Visual Relationships &amp; Spatial and Temporal Relationships of Sound. Focus on understanding tonal perspectives of sounds with their corresponding visuals.</t>
  </si>
  <si>
    <t>Sound Design: Shows good understanding and execution in Portable Audio Recording Devices. Practice with more recording sessions.</t>
  </si>
  <si>
    <t>Sound Design: Shows good understanding and execution in Location Sound Recording. Focus on getting the recording workflow more efficient.</t>
  </si>
  <si>
    <t xml:space="preserve">Sound Design: Shows good understanding and execution in Recording &amp; Editing Ambiences. Aim for getting richer sound textures and cleaner recordings. </t>
  </si>
  <si>
    <t>Sound Design: Shows good understanding and execution in Editing &amp; Mixing Sound Elements using Sound Editing Software. Focus on making the post-production workflow more efficient.</t>
  </si>
  <si>
    <t>Sound Design: Shows good understanding and execution in all the Semester I learning outcomes. Practise and fine tune all learnings.</t>
  </si>
  <si>
    <t>Sound Design: Basic understanding in Human Auditory System. Focus on understanding the workings of the human ear more.</t>
  </si>
  <si>
    <t>Sound Design: Basic understanding in Properties and Behaviour of Sound &amp; Aural Perception vs Microphone Behaviour. Requires regular listening to surrounding environments.</t>
  </si>
  <si>
    <t>Sound Design: Basic capability in Portable Audio Recording Devices. Refer to the equipment manuals to gain more knowledge.</t>
  </si>
  <si>
    <t>Sound Design: Basic capability in Location Sound Recording. Going through the reference materials will help in better understanding.</t>
  </si>
  <si>
    <t>Sound Design: Basic capability in Recording &amp; Editing Ambiences. Continue going for more recording trips and upgrade the skills.</t>
  </si>
  <si>
    <t>Sound Design: Basic capability in Editing &amp; Mixing Sound Elements using Sound Editing Software. Develop more confidence through practice.</t>
  </si>
  <si>
    <t>Sound Design: Basic capability in all the Semester I learning outcomes. Actively practicing outside of class hours will be beneficial.</t>
  </si>
  <si>
    <t>Sound Design: Requires to participate in practical classes to improve in Location Sound Recording.</t>
  </si>
  <si>
    <t>Sound Design: Requires to purchase and start using the mandatory recording equipment to start Recording &amp; Editing Ambiences.</t>
  </si>
  <si>
    <t>Sound Design: Needs to start with basics of Editing &amp; Mixing Sound Elements using Sound Editing Software.</t>
  </si>
  <si>
    <t>Sound Design: Must attend classes regularly to achieve improvement in all the Semester learning outcomes.</t>
  </si>
  <si>
    <t>Production: Demonstrates a solid grasp of technical skills, though needs to work on minor inconsistencies in the final project.</t>
  </si>
  <si>
    <t>Production: Demonstrates the ability to complete tasks, needs to work on the quality of output across different stages.</t>
  </si>
  <si>
    <t>Production: Outcomes show a general understanding of the brief, needs to work on the alignment between intent and result is often loose or vague.</t>
  </si>
  <si>
    <t>Production: Shows an awareness of necessary processes, work on minor errors are visible in the final production.</t>
  </si>
  <si>
    <t>Production: While the work is functional, your next step is to prioritize precision. Dedicate more time to the attention to detail.</t>
  </si>
  <si>
    <t>Production: Work on sustaining your execution until the project meets all final requirements.</t>
  </si>
  <si>
    <t>Production: Aim for a cleaner, more precise execution to reflect the required standard.</t>
  </si>
  <si>
    <t>Direction: Works effectively with actors, guiding performances with clarity, consistency, and sensitivity to character needs.</t>
  </si>
  <si>
    <t>Direction: Applies staging patterns (I, A, L, C, S) effectively to support visual storytelling and spatial dynamics.</t>
  </si>
  <si>
    <t>Direction: Demonstrates control over rhythm and pacing, shaping scenes effectively through performance and visual flow.</t>
  </si>
  <si>
    <t>Direction: Shows a good understanding of staging and blocking, with scope to improve consistency in execution for more complex scenes.</t>
  </si>
  <si>
    <t>Direction: Works with actors effectively in parts, with scope to strengthen continuity and control of performances across scenes.</t>
  </si>
  <si>
    <t>Direction: Demonstrates an understanding of scene construction, though integration of elements can be further refined for coherence.</t>
  </si>
  <si>
    <t>Direction: Uses staging patterns with some awareness, with scope for more precise and consistent application.</t>
  </si>
  <si>
    <t>Direction: Uses visualisation tools adequately, with scope to add greater clarity and depth in planning.</t>
  </si>
  <si>
    <t>Direction: Shows awareness of rhythm and pacing, with scope to improve consistency in maintaining it across scenes.</t>
  </si>
  <si>
    <t>Direction: Shows awareness of rhythm and pacing, shall improve to maintain it consistently.</t>
  </si>
  <si>
    <t>Direction: Engages with advanced staging concepts, with scope to strengthen consistency in execution.</t>
  </si>
  <si>
    <t>Direction: Shows developing control over staging and blocking, with scope to create clearer and more motivated movement.</t>
  </si>
  <si>
    <t>Direction: Shows developing ability in directing actors, with scope to achieve more consistent and clearer performances.</t>
  </si>
  <si>
    <t>Direction: Scene construction shows developing cohesion, with scope to better integrate visual and performance elements.</t>
  </si>
  <si>
    <t>Direction: Shows developing understanding of staging patterns, with scope to strengthen application.</t>
  </si>
  <si>
    <t>Direction: Visualisation tools can be used more effectively to enhance clarity and planning.</t>
  </si>
  <si>
    <t>Direction: Use of props and space shows developing intent, with scope to make choices more purposeful and motivated by narrative.</t>
  </si>
  <si>
    <t>Direction: Rhythm and pacing show developing control, with scope to improve consistency and overall scene engagement.</t>
  </si>
  <si>
    <t>Direction: Shows developing ability to handle complex staging situations, including those involving VFX or spatial planning.</t>
  </si>
  <si>
    <t>Direction: Shows emerging understanding of staging and blocking, with scope to build more effective scene construction.</t>
  </si>
  <si>
    <t>Direction: Shows emerging ability to direct actors, with scope to achieve clearer and more engaged performances.</t>
  </si>
  <si>
    <t>Direction: Scene construction shows developing coherence, with scope to better integrate visual and performance elements.</t>
  </si>
  <si>
    <t>Direction: Shows emerging understanding of staging patterns and spatial dynamics, with scope for further development.</t>
  </si>
  <si>
    <t>Direction: Visualisation tools need to be used more effectively to support scene planning.</t>
  </si>
  <si>
    <t>Direction: Use of props and space shows emerging intent, with scope to make choices more purposeful within scenes.</t>
  </si>
  <si>
    <t>Direction: Shows emerging control over rhythm and pacing, with scope to improve consistency.</t>
  </si>
  <si>
    <t>Direction: Shows developing engagement with the practical requirements of directing exercises, with scope for stronger application.</t>
  </si>
  <si>
    <t>Screenwriting: Writes dialogue that is natural, character-driven, and effectively reveals subtext with minimal reliance on exposition.</t>
  </si>
  <si>
    <t>Screenwriting: Applies advanced story structures (Hero’s Journey / Story Circle) effectively to build engaging and well-shaped narratives.</t>
  </si>
  <si>
    <t>Screenwriting: Demonstrates distinct character voices, making dialogue identifiable and unique to each character.</t>
  </si>
  <si>
    <t>Screenwriting: Writes with strong awareness of rhythm and pacing, allowing scenes to flow naturally and effectively.</t>
  </si>
  <si>
    <t>Screenwriting: Effectively uses dialogue across different situations, adapting tone and style to suit context and character.</t>
  </si>
  <si>
    <t>Screenwriting: Writes dialogue that serves the narrative, though it can sometimes become predictable or overly explanatory.</t>
  </si>
  <si>
    <t>Screenwriting: Demonstrates an understanding of scene construction, though progression and conflict can be further strengthened.</t>
  </si>
  <si>
    <t>Screenwriting: Applies story structures appropriately, though narratives can be developed further for greater depth and originality.</t>
  </si>
  <si>
    <t>Screenwriting: Shows awareness of conflict, though it can be developed more consistently across the script.</t>
  </si>
  <si>
    <t>Screenwriting: Characters show some distinction, though dialogue voices can be further differentiated.</t>
  </si>
  <si>
    <t>Screenwriting: Demonstrates basic control over pacing, though scenes can feel uneven at times.</t>
  </si>
  <si>
    <t>Screenwriting: Writes dialogue suited to situations, though there is scope for greater tonal variation.</t>
  </si>
  <si>
    <t>Screenwriting: Shows an understanding of cinematic writing, though execution can be strengthened for greater impact.</t>
  </si>
  <si>
    <t>Screenwriting: Dialogue shows developing depth, though it can sometimes become functional or overly explanatory. Focus on subtext and character-specific speech patterns so conversations feel more natural and emotionally layered.</t>
  </si>
  <si>
    <t>Screenwriting: Scene writing shows developing consistency, though progression and purpose can be made clearer.</t>
  </si>
  <si>
    <t>Screenwriting: Shows developing understanding of story structures, with scope to strengthen narrative flow.</t>
  </si>
  <si>
    <t>Screenwriting: Conflict shows emerging development, though clarity and consistency can be further strengthened.</t>
  </si>
  <si>
    <t>Screenwriting: Characters show developing voices, though dialogue can sometimes feel repetitive and needs more distinction.</t>
  </si>
  <si>
    <t>Screenwriting: Pacing shows developing control, though rhythm can feel uneven at times. Practice restructuring scenes and tightening transitions so the narrative flow feels smoother and more engaging.</t>
  </si>
  <si>
    <t>Screenwriting: Dialogue shows developing alignment with situation and character intent, with scope for greater clarity.</t>
  </si>
  <si>
    <t>Screenwriting: Writing shows emerging cinematic quality, though scenes need clearer visualization and stronger performative potential.</t>
  </si>
  <si>
    <t>Screenwriting: Dialogue shows emerging clarity, though it needs further development in purpose and character distinction.</t>
  </si>
  <si>
    <t>Screenwriting: Scene writing shows emerging structure, with scope to develop clearer beginnings, progression, and resolution.</t>
  </si>
  <si>
    <t>Screenwriting: Shows emerging understanding of story structures, with scope to strengthen narrative progression.</t>
  </si>
  <si>
    <t>Screenwriting: Conflict shows emerging development, though it needs clearer articulation and consistency.</t>
  </si>
  <si>
    <t>Screenwriting: Characters show early-stage development, with scope to build clearer voice and motivation.</t>
  </si>
  <si>
    <t>Screenwriting: Pacing shows emerging control, though writing may feel disjointed at times. Practice restructuring scenes and tightening transitions so the narrative flow feels smoother and more engaging.</t>
  </si>
  <si>
    <t>Screenwriting: Dialogue shows developing alignment with situation and character, with scope to improve credibility and clarity.</t>
  </si>
  <si>
    <t>Screenwriting: Shows developing engagement with basic screenwriting skills required for the course, with scope for further improvement.</t>
  </si>
  <si>
    <t>Demonstrates clear understanding of motivated camera movement, with each movement supporting narrative intent.</t>
  </si>
  <si>
    <t>Controls rhythm, pace and tempo effectively, enhancing the visual flow of the scene.</t>
  </si>
  <si>
    <t>Constructs well-planned camera movements that contribute meaningfully to storytelling.</t>
  </si>
  <si>
    <t>Integrates emotion with camera movement, strengthening the impact of the scene.</t>
  </si>
  <si>
    <t>Executes basic camera movements such as pan and tilt with precision and smooth control.</t>
  </si>
  <si>
    <t>Adapts confidently to available light, making informed visual decisions on set.</t>
  </si>
  <si>
    <t>Applies foundational lighting techniques effectively, including three-point lighting and bounce control.</t>
  </si>
  <si>
    <t>Develops and executes clear lighting plans that align with the visual requirements of the scene.</t>
  </si>
  <si>
    <t>Demonstrates a good understanding of camera movement, with scope to strengthen the motivation behind each movement.</t>
  </si>
  <si>
    <t>Maintains a sense of rhythm and pacing, greater consistency can enhance the overall visual flow.</t>
  </si>
  <si>
    <t>Plans camera movements with intent and can refine their alignment with narrative progression.</t>
  </si>
  <si>
    <t>Connects emotion with camera movement in parts and can strengthen this relationship to enhance storytelling impact.</t>
  </si>
  <si>
    <t>Executes basic camera movements such as pan and tilt with control and can improve smoothness and precision.</t>
  </si>
  <si>
    <t>Responds to available light with awareness and can refine decision-making to achieve more consistent visual results.</t>
  </si>
  <si>
    <t>Applies foundational lighting techniques and can strengthen control over shaping and balancing light.</t>
  </si>
  <si>
    <t>Establishes basic lighting plans, with further refinement improving clarity and effectiveness for the scene.</t>
  </si>
  <si>
    <t>Shows a basic understanding of camera movement and can improve by focusing on the purpose behind each movement.</t>
  </si>
  <si>
    <t>Demonstrates an emerging sense of rhythm and pacing and can strengthen visual flow through more consistent execution.</t>
  </si>
  <si>
    <t>Attempts to plan camera movements and can improve by aligning them more clearly with the scene’s progression.</t>
  </si>
  <si>
    <t>Shows initial connection between emotion and movement and can develop this further to support storytelling.</t>
  </si>
  <si>
    <t>Executes basic camera movements such as pan and tilt at a functional level and can improve control through regular practice.</t>
  </si>
  <si>
    <t>Shows awareness of available light and can strengthen results by making more consistent visual decisions.</t>
  </si>
  <si>
    <t>Applies basic lighting techniques and can improve by developing better control over light direction and balance.</t>
  </si>
  <si>
    <t>Demonstrates a developing approach to lighting plans and can strengthen clarity by planning setups more deliberately.</t>
  </si>
  <si>
    <t>Is at an early stage in understanding camera movement and should focus on learning the purpose behind each movement.</t>
  </si>
  <si>
    <t>Shows limited control over rhythm and pacing and can improve by practicing steady and consistent shot execution.</t>
  </si>
  <si>
    <t>Camera movements require further planning and can develop through focusing on simple and clear shot progression.</t>
  </si>
  <si>
    <t>Connection between emotion and movement is still developing and can improve by understanding how movement supports storytelling.</t>
  </si>
  <si>
    <t>Basic camera movements such as pan and tilt require greater control and can be strengthened through guided practice.</t>
  </si>
  <si>
    <t>Understanding of available light is at an early stage and can improve by observing and adapting to light conditions more carefully.</t>
  </si>
  <si>
    <t>Lighting application requires development and can be strengthened by focusing on fundamental techniques such as key, fill and backlight.</t>
  </si>
  <si>
    <t>Lighting plans need clearer structure and can improve by practicing simple setups before moving to complex scenes.</t>
  </si>
  <si>
    <t>Editing: Demonstrates strong control over dialogue, continuity, pacing, montage, and VFX integration. Continue refining conceptual layering and emotional nuance for greater depth.</t>
  </si>
  <si>
    <t>Editing: Dialogue rhythm and pacing are handled confidently. Explore more complex montage relationships and thematic connections to strengthen meaning.</t>
  </si>
  <si>
    <t>Editing: Shows strong montage thinking and visual linking. Continue refining continuity precision and emotional timing for smoother flow.</t>
  </si>
  <si>
    <t>Editing: Emotional shaping through reactions and pacing is highly effective. Improve technical consistency in VFX integration for a more polished output.</t>
  </si>
  <si>
    <t>Editing: Demonstrates clean continuity and strong visual storytelling. Continue developing pauses, silence, and emotional layering for richer scene construction.</t>
  </si>
  <si>
    <t>Editing: Sound-image interplay and pacing are handled with maturity. Explore more conceptual experimentation within montage structures.</t>
  </si>
  <si>
    <t>Editing: Shot relationships and visual composition support storytelling effectively. Refine dialogue pacing and sound layering for greater tonal control.</t>
  </si>
  <si>
    <t>Editing: Confident and creative editorial choices are evident throughout. Continue balancing experimentation with continuity precision and narrative clarity.</t>
  </si>
  <si>
    <t>Editing: Dialogue scenes are engaging and structurally clear. Focus on developing stronger conceptual montage connections and smoother VFX integration.</t>
  </si>
  <si>
    <t>Editing: Demonstrates good visual linking and pacing awareness. Improve continuity precision and emotional shaping within dialogue scenes.</t>
  </si>
  <si>
    <t>Editing: Technical execution is stable and VFX handling is functional. Develop stronger emotional depth through timing, pauses, and reactions.</t>
  </si>
  <si>
    <t>Editing: Emotional rhythm and reaction timing are effective in parts. Continue refining technical consistency and VFX integration.</t>
  </si>
  <si>
    <t>Editing: Shows understanding across dialogue, montage, rhythm and VFX. Focus on integrating these areas more cohesively across the sequence.</t>
  </si>
  <si>
    <t>Editing: Spatial and temporal continuity are maintained well. Push creative experimentation further to avoid overly safe editing choices.</t>
  </si>
  <si>
    <t>Editing: Pacing works effectively in sections. Improve continuity and narrative clarity across transitions and scene progression.</t>
  </si>
  <si>
    <t>Editing: Shot choices support story progression clearly. Continue developing sound layering and silence as narrative tools.</t>
  </si>
  <si>
    <t>Editing: Story structure is partially understandable. Focus on creating clearer montage relationships and integrating VFX more meaningfully.</t>
  </si>
  <si>
    <t>Editing: Attempts at conceptual linking are visible. Improve continuity and dialogue shaping to strengthen viewer clarity.</t>
  </si>
  <si>
    <t>Editing: Some emotionally effective moments are present. Work on maintaining more consistent pacing and rhythm throughout scenes.</t>
  </si>
  <si>
    <t>Editing: Basic continuity awareness is visible. Improve eyelines, screen direction, and movement matching for smoother viewing.</t>
  </si>
  <si>
    <t>Editing: Dialogue and scene structure are partially functional. Develop stronger use of pauses, reactions, and silence for emotional engagement.</t>
  </si>
  <si>
    <t>Editing: Technical effort is visible. Spend more time refining cuts, timing, and VFX execution to improve overall quality.</t>
  </si>
  <si>
    <t>Editing: Some variation in composition and shot choice is present. Focus on guiding viewer attention more purposefully through editing decisions.</t>
  </si>
  <si>
    <t>Editing: Student joyfully participates in montage and dialogue exercises. Building technical efficiecy across rhythm, continuity, sound, and storytelling will make that participation effective.</t>
  </si>
  <si>
    <t>Editing: Demonstrates effort in constructing dialogue scenes. Focus on improving continuity and structure so scenes become easier to follow.</t>
  </si>
  <si>
    <t>Editing: Some awareness of spatial continuity is visible. Develop stronger control over eyelines, movement direction, and screen logic.</t>
  </si>
  <si>
    <t>Editing: Attempts at pacing and rhythm are present. Improve timing control to avoid scenes feeling rushed or prolonged.</t>
  </si>
  <si>
    <t>Editing: Basic sound placement is present. Focus on integrating dialogue, silence, and sound more meaningfully with visuals.</t>
  </si>
  <si>
    <t>Editing: Shows initial experimentation with montage. Develop stronger thematic and conceptual connections between shots.</t>
  </si>
  <si>
    <t>Editing: Interest in graphics and effects is visible. Spend more time refining technical execution so effects support storytelling effectively.</t>
  </si>
  <si>
    <t>Editing: Some shot variation is attempted. Improve shot selection and sequencing to strengthen clarity and audience engagement.</t>
  </si>
  <si>
    <t>Sound Design: Demonstrates high-level clarity in Attributes of Tonality, Pitch, and Amplitude in Dialogue Scenes. Start comparing between different characters, situations, &amp; inter-persoanl relations through watching films and shows.</t>
  </si>
  <si>
    <t>Sound Design: Demonstrates high-level clarity in Characteristics and Applications of Different Microphones. Explore more by using them  in different scenarios.</t>
  </si>
  <si>
    <t>Sound Design: Demonstrates high-level control and clarity in Different Audio Devices used in Sound Production. Experiment with different brands and models to understand differences in features and quality.</t>
  </si>
  <si>
    <t>Sound Design: Demonstrates high-level control and clarity in Sound Recording &amp; Sound Editing of Dialogue Scenes. Research into advanced techniques utilized on professional film productions.</t>
  </si>
  <si>
    <t>Sound Design: Demonstrates high-level control and clarity in Making Sound Stories. Can experiment with different genres and research into the business side of the industry.</t>
  </si>
  <si>
    <t>Sound Design: Demonstrates high-level control and clarity in Sound Designing for Animation &amp; VFX. Should work on practice projects and start building a demo showreel.</t>
  </si>
  <si>
    <t>Sound Design: Shows good understanding in Attributes of Tonality, Pitch, and Amplitude in Dialogue Scenes. Implement the learnings into different scenarios to understand the nuances.</t>
  </si>
  <si>
    <t>Sound Design: Shows good understanding in Characteristics and Applications of Different Microphones. Research into what makes them different from each other.</t>
  </si>
  <si>
    <t>Sound Design: Shows good understanding and execution in Different Audio Devices used in Sound Production. Read the equipment manuals and explore all the features available in each device.</t>
  </si>
  <si>
    <t>Sound Design: Shows good understanding and execution in Sound Recording &amp; Sound Editing of Dialogue Scenes. Can fine tune skills and research into workflows of professional films.</t>
  </si>
  <si>
    <t>Sound Design: Shows good understanding and execution in Making Sound Stories. Experiment with different genres.</t>
  </si>
  <si>
    <t>Sound Design: Shows good understanding and execution in Sound Designing for Animation &amp; VFX. Experiment with different effects and sound layers and edits.</t>
  </si>
  <si>
    <t>Sound Design: Shows good understanding and execution in all the Semester II learning outcomes. Encouraged to refine and fine tune skills by more practice projects.</t>
  </si>
  <si>
    <t>Sound Design: Basic capability in Attributes of Tonality, Pitch, and Amplitude in Dialogue Scenes. Requires to watch more films and shows and observe all the sound attributes.</t>
  </si>
  <si>
    <t>Sound Design: Basic capability in Characteristics and Applications of Different Microphones. Must do test recordings and compare the quality of different microphones.</t>
  </si>
  <si>
    <t>Sound Design: Basic capability in Different Audio Devices used in Sound Production. Must read about different audio devices to better understand the purpose of each equipment.</t>
  </si>
  <si>
    <t>Sound Design: Basic capability in Sound Recording &amp; Sound Editing of Dialogue Scenes. Skills can be improved with more practice and analysing the recordings.</t>
  </si>
  <si>
    <t>Sound Design: Basic capability in Making Sound Stories. Work on building the story world with respect to the soundscape.</t>
  </si>
  <si>
    <t>Sound Design: Basic capability in Sound Designing for Animation &amp; VFX. Should watch behind the scenes interviews and videos of animation films.</t>
  </si>
  <si>
    <t>Sound Design: Basic capability in all the Semester II learning outcomes. Requires more pro-activeness to imrove knowledge and skills.</t>
  </si>
  <si>
    <t>Sound Design: Requires significant improvement in Attributes of Tonality, Pitch, and Amplitude in Dialogue Scenes. Requires to listen and concentrate on soundscapes of films.</t>
  </si>
  <si>
    <t>Sound Design: Requires significant improvement in Characteristics and Applications of Different Microphones. Requires active observation about sound in films, shows, live events, concerts, sports etc.</t>
  </si>
  <si>
    <t>Sound Design: Requires significant improvement in Sound Recording &amp; Sound Editing of Dialogue Scenes. Requires to participate in practical exercises.</t>
  </si>
  <si>
    <t>Sound Design: Requires significant improvement in Making Sound Stories. Must explore the world of audiobooks and audio stories.</t>
  </si>
  <si>
    <t>Sound Design: Requires significant improvement in Sound Designing for Animation &amp; VFX. Must work on more sample projects.</t>
  </si>
  <si>
    <t>Sound Design: Requires significant improvement in all the Semester II learning outcomes. Must attend classes regularly to understand the basics.</t>
  </si>
  <si>
    <t>Production: Shows a clear ability to execute ideas effectively; focus more on your workflow.</t>
  </si>
  <si>
    <t>Production: While the core tasks are met, greater attention to detail is needed to improve the accuracy of your work.</t>
  </si>
  <si>
    <t>Production: Focus on managing multiple technical variables more effectively to avoid inconsistencies in your execution.</t>
  </si>
  <si>
    <t>Production: Shows a foundational grasp of Semester  theory, yet struggles to apply these concepts with consistent accuracy in practice.</t>
  </si>
  <si>
    <t>Production: Work on sustaining your effort from the initial concept through to a more refined and completed state.</t>
  </si>
  <si>
    <t>Production: Work on stabilizing your production process to ensure your final outputs are consistent and reliable.</t>
  </si>
  <si>
    <t>Production: Needs more practice time to gain the production control.</t>
  </si>
  <si>
    <t>Production: Work on establishing a more efficient workflow to better production handling.</t>
  </si>
  <si>
    <t>Production: Focus on a more structured approach to production.</t>
  </si>
  <si>
    <t>Production: Aim for a more thorough interpretation of project goals to ensure your execution aligns with the criteria.</t>
  </si>
  <si>
    <t>Direction: Demonstrates a partial understanding of documentary storytelling, with unclear thematic focus. Identify the core idea of the film before scripting or shooting so every creative choice supports it.</t>
  </si>
  <si>
    <t>Direction: Engagement with subject is inconsistent, affecting narrative depth. Engage more deeply with the subject through stronger research, observation, and interview preparation.</t>
  </si>
  <si>
    <t>Direction: Lacks a strong structure, resulting in uneven progression. Work on outlining scenes more carefully to create a clearer beginning, middle, and emotional progression.</t>
  </si>
  <si>
    <t>Direction: Relies on surface-level observation, with minimal insight or interpretation. Cultivate more on documentary structure, observation, and thematic development during research and pre-production.</t>
  </si>
  <si>
    <t>Direction: Visual and sound elements are functional but not meaningfully integrated. Explore how framing, movement, ambient sound, and silence can work together to strengthen mood and meaning.</t>
  </si>
  <si>
    <t>Direction: Limited awareness of ethical considerations in representation. Be more mindful of perspective and representation while documenting real people and situations.</t>
  </si>
  <si>
    <t>Direction: Collaboration is inconsistent, impacting overall execution. Improve communication with the crew during planning and production so the final work feels more unified.</t>
  </si>
  <si>
    <t>Direction: Planning is evident but execution lacks clarity and coherence. Develop more detailed shot breakdowns and production preparation to improve clarity during execution.</t>
  </si>
  <si>
    <t>Direction: Lacks a clear documentary vision, with no defined theme or direction. Identify the core idea of the film before scripting or shooting so every creative choice supports it.</t>
  </si>
  <si>
    <t>Direction: Fails to engage meaningfully with subject matter, resulting in weak narrative. Engage more deeply with the subject through stronger research, observation, and interview preparation.</t>
  </si>
  <si>
    <t>Direction: Structure is absent or unclear, affecting overall comprehension. Work on outlining scenes more carefully to create a clearer beginning, middle, and emotional progression.</t>
  </si>
  <si>
    <t>Direction: Shows minimal understanding of observational or non-fiction storytelling. Research more on documentary structure, observation, and thematic development during research and pre-production.</t>
  </si>
  <si>
    <t>Direction: Poor integration of visual and sound elements. Explore how framing, movement, ambient sound, and silence can work together to strengthen mood and meaning.</t>
  </si>
  <si>
    <t>Direction: Ethical considerations are overlooked or inadequately addressed. Be more mindful of perspective and representation while documenting real people and situations.</t>
  </si>
  <si>
    <t>Direction: Collaboration is ineffective, leading to disjointed output. Improve communication with the crew during planning and production so the final work feels more unified.</t>
  </si>
  <si>
    <t>Direction: Inadequate planning and execution across all stages of production. Develop more detailed shot breakdowns and production preparation to improve clarity during execution.</t>
  </si>
  <si>
    <t>Screenwriting: Demonstrates strong command over narrative theory, effectively applying story vs discourse, character arcs, and archetypes. Structural frameworks are used with clarity and precision, while dialogue remains economical and character-specific, revealing subtext naturally.emains economical and character-specific, revealing subtext without overstatement.</t>
  </si>
  <si>
    <t>Screenwriting: Shows clear control over structure using frameworks such as the Fichtean Curve and Seven-Point Structure. Scenes are visually driven, supported by strong pre-visualisation and purposeful dialogue.</t>
  </si>
  <si>
    <t>Screenwriting: Demonstrates advanced understanding of genre conventions, using them with originality and confidence. Dialogue, action, and visual elements work together to create layered storytelling.</t>
  </si>
  <si>
    <t>Screenwriting: Scene construction is strong, with clear conflict, progression, and emotional layering. Subtext emerges effectively through behaviour and interaction.</t>
  </si>
  <si>
    <t>Screenwriting: Shows good understanding of narrative principles and character arcs, though application of story vs discourse can be developed more consistently. Dialogue is functional, with scope to reduce reliance on direct exposition.</t>
  </si>
  <si>
    <t>Screenwriting: Demonstrates familiarity with structural frameworks, though progression can be refined further for greater precision. Visual writing supports the narrative and can be developed with more cinematic specificity.</t>
  </si>
  <si>
    <t>Screenwriting: Overall work is competent and structured, with clear scope for deeper integration between narrative theory, structure, and expressive writing techniques.</t>
  </si>
  <si>
    <t>Screenwriting: Theme and premise are present, with scope to strengthen their integration into scenes and character decisions. Subtext appears in moments and can be sustained more consistently.</t>
  </si>
  <si>
    <t>Screenwriting: Shows awareness of genre conventions, though greater experimentation can help strengthen originality. Some scenes can rely more confidently on visual storytelling.</t>
  </si>
  <si>
    <t>Screenwriting: Character arcs are identifiable, with scope to build greater depth and consistency. Dialogue reflects intent and can further differentiate character voices.</t>
  </si>
  <si>
    <t>Screenwriting: Scene construction supports narrative progression, though pacing and escalation can be refined further. Emotional beats can be conveyed more through implication and behaviour.</t>
  </si>
  <si>
    <t>Screenwriting: Research and development are evident, with scope to further strengthen world-building and pre-visualisation. Visual elements are present and can be utilised more effectively.</t>
  </si>
  <si>
    <t>Screenwriting: Demonstrates basic understanding of narrative concepts, though distinctions between story and discourse are still developing in execution. Dialogue remains largely functional and can be further strengthened with clearer character specificity.</t>
  </si>
  <si>
    <t>Screenwriting: Attempts to apply structural frameworks, though narrative progression can feel uneven or incomplete in parts. Scenes can rely more on visual action alongside dialogue.</t>
  </si>
  <si>
    <t>Screenwriting: Theme and premise show emerging development, with scope to influence narrative direction more clearly. Subtext is present in parts and can be developed more consistently beyond literal interaction.</t>
  </si>
  <si>
    <t>Screenwriting: Needs to further expand understanding of genre conventions to achieve stronger tonal consistency and clearer genre identity.</t>
  </si>
  <si>
    <t>Screenwriting: Character arcs show developing progression, though transformation and consistency can be strengthened further. Dialogue can express emotions more through interaction and behaviour.</t>
  </si>
  <si>
    <t>Screenwriting: Scenes are functional, with scope to strengthen conflict, progression, and dramatic purpose. Emotional beats can be constructed more effectively.</t>
  </si>
  <si>
    <t>Screenwriting: Research and development show early-stage engagement, with scope to strengthen settings, visualisation, and cinematic expression beyond literary description.</t>
  </si>
  <si>
    <t>Screenwriting: Overall work meets basic requirements, with scope to further strengthen clarity, structure, and consistency across narrative, genre, and writing craft elements.</t>
  </si>
  <si>
    <t>Screenwriting:  Shows emerging understanding of narrative structure, with scope to strengthen distinctions between story progression and narrative presentation. Dialogue can become less explanatory and more dramatically motivated with further practice.</t>
  </si>
  <si>
    <t>Screenwriting: Overall work would benefit from deeper engagement with Semester III concepts, particularly in narrative construction, dialogue writing, and visual storytelling.</t>
  </si>
  <si>
    <t>Screenwriting: Needs further practice applying basic structural frameworks to create smoother narrative progression and more coherent scene construction.</t>
  </si>
  <si>
    <t>Screenwriting: Would benefit from clearer articulation and integration of theme and premise, with scope to strengthen the use of subtext within scenes and character interactions.</t>
  </si>
  <si>
    <t>Screenwriting: Needs stronger understanding and application of genre conventions to achieve greater tonal consistency and storytelling impact.</t>
  </si>
  <si>
    <t>Screenwriting: Character development would benefit from clearer arcs and motivations, while dialogue can further differentiate character intent and personality.</t>
  </si>
  <si>
    <t>Screenwriting: Needs further practice in structuring scenes, conflict, and dramatic purpose to improve narrative clarity. Scenes can benefit from stronger internal conflict and clearer emotional progression.</t>
  </si>
  <si>
    <t>Screenwriting: Needs more focused research and development, along with stronger visual writing and clearer pre-visualisation of scenes and actions.</t>
  </si>
  <si>
    <t>Executes camera movements with clear narrative intent, maintaining precision and control throughout.</t>
  </si>
  <si>
    <t>Operates the gimbal with confidence, ensuring stability, balance and accurate framing.</t>
  </si>
  <si>
    <t>Maintains precise focus consistently, demonstrating strong control in focus pulling across shots.</t>
  </si>
  <si>
    <t>Integrates focus, focal length and depth of field effectively to enhance visual storytelling.</t>
  </si>
  <si>
    <t>Constructs lighting setups with clear intent, shaping light to suit the scene’s requirements.</t>
  </si>
  <si>
    <t>Controls contrast and light direction effectively to create depth and visual interest.</t>
  </si>
  <si>
    <t>Interprets and recreates reference lighting with strong accuracy and attention to detail.</t>
  </si>
  <si>
    <t>Plans and executes lighting setups efficiently, translating concepts into well-crafted visuals.</t>
  </si>
  <si>
    <t>Executes camera movements with clear intent and can refine precision to maintain consistent control throughout.</t>
  </si>
  <si>
    <t>Operates the gimbal with confidence in most situations and can improve stability and framing consistency.</t>
  </si>
  <si>
    <t>Maintains focus in most shots and can strengthen accuracy during more dynamic movements.</t>
  </si>
  <si>
    <t>Applies focus, focal length and depth of field with awareness and can refine their integration to enhance storytelling.</t>
  </si>
  <si>
    <t>Constructs lighting setups with intent and can improve control over shaping light for more defined results.</t>
  </si>
  <si>
    <t>Manages contrast and light direction effectively with further refinement enhancing depth and visual interest.</t>
  </si>
  <si>
    <t>Recreates reference lighting with good accuracy and can improve attention to finer details.</t>
  </si>
  <si>
    <t>Plans and executes lighting setups with structure and can refine execution for greater consistency.</t>
  </si>
  <si>
    <t>Shows a basic approach to camera movement and can improve by developing better control and consistency.</t>
  </si>
  <si>
    <t>Operates the gimbal at a functional level and can strengthen stability and balance through regular practice.</t>
  </si>
  <si>
    <t>Maintains focus in parts and can improve accuracy by practicing controlled focus pulling.</t>
  </si>
  <si>
    <t>Applies focus and depth of field at a basic level and can improve by understanding their relationship with focal length.</t>
  </si>
  <si>
    <t>Lighting setups show initial intent and can be strengthened by improving control over light direction and quality.</t>
  </si>
  <si>
    <t>Contrast and light direction are applied inconsistently and can improve through more deliberate lighting decisions.</t>
  </si>
  <si>
    <t>Attempts to recreate reference lighting and can improve by observing and matching details more carefully.</t>
  </si>
  <si>
    <t>Demonstrates a developing approach to lighting execution and can strengthen results through clearer planning.</t>
  </si>
  <si>
    <t>Is at an early stage in controlling camera movement and should focus on building stability and basic shot execution.</t>
  </si>
  <si>
    <t>Gimbal operation requires development and can improve by practicing balance and controlled movement.</t>
  </si>
  <si>
    <t>Focus control is inconsistent and can be strengthened through guided practice in focus pulling.</t>
  </si>
  <si>
    <t>Understanding of focus, focal length and depth of field is developing and can improve by learning their basic relationships.</t>
  </si>
  <si>
    <t>Lighting setups require further development and can improve by focusing on fundamental light placement and control.</t>
  </si>
  <si>
    <t>Control over contrast and light direction is limited and can be strengthened by practicing simple lighting setups.</t>
  </si>
  <si>
    <t>Recreating reference lighting is at an early stage and can improve by carefully observing key lighting elements.</t>
  </si>
  <si>
    <t>Planning and execution of lighting require structure and can be developed through step-by-step setup practice.</t>
  </si>
  <si>
    <t>Editing: Demonstrates strong control over filmic time, rhythm, and documentary structuring. Continue refining sound-image interplay and finishing precision for greater polish.</t>
  </si>
  <si>
    <t>Editing: Rhythm and pacing are shaped confidently across sequences. Continue exploring more expressive musical and emotional layering.</t>
  </si>
  <si>
    <t>Editing: Shows strong sensitivity to rhythm and narrative flow. Improve technical finishing consistency for more refined delivery.</t>
  </si>
  <si>
    <t>Editing: Documentary material is interpreted and structured effectively. Continue pushing creative exploration within time construction and pacing.</t>
  </si>
  <si>
    <t>Editing: Workflow discipline and technical handling in Avid Media Composer are highly reliable. Explore more expressive rhythm variation and sound relationships.</t>
  </si>
  <si>
    <t>Editing: Sound-image interplay creates strong emotional progression. Continue refining continuity and workflow consistency for smoother outputs.</t>
  </si>
  <si>
    <t>Editing: Footage handling and narrative organisation are systematic and clear. Push creative experimentation further within rhythm and progression.</t>
  </si>
  <si>
    <t>Editing: Demonstrates strong integration of narrative, rhythm, workflow, and documentary structuring. Continue refining timing and sound layering for greater nuance.</t>
  </si>
  <si>
    <t>Editing: Narrative structuring and workflow management are stable. Focus on aligning rhythm and music more intentionally with visual pacing.</t>
  </si>
  <si>
    <t>Editing: Demonstrates awareness of rhythm and pacing. Improve documentary shaping so material develops into a clearer narrative flow.</t>
  </si>
  <si>
    <t>Editing: Technical workflow execution is reliable. Develop stronger control over filmic time to avoid mechanical pacing.</t>
  </si>
  <si>
    <t>Editing: Shows understanding of footage handling and scene construction. Improve consistency in sound-image relationships and rhythm shaping.</t>
  </si>
  <si>
    <t>Editing: Some emotionally effective rhythmic moments are present. Focus on maintaining stronger narrative progression across the sequence.</t>
  </si>
  <si>
    <t>Editing: Editing workflow is organised and systematic. Continue developing musicality and expressive time structuring within scenes.</t>
  </si>
  <si>
    <t>Editing: Visual arrangement and continuity are clear. Improve sound integration so rhythm and narrative meaning work more cohesively together.</t>
  </si>
  <si>
    <t>Editing: Demonstrates understanding across narrative, rhythm, and workflow. Continue integrating these elements into a more unified editorial approach.</t>
  </si>
  <si>
    <t>Editing: Narrative intent is visible in parts. Focus on shaping filmic time and rhythm more clearly for stronger audience engagement.</t>
  </si>
  <si>
    <t>Editing: Attempts at rhythm and pacing are evident. Improve visual-musical alignment and documentary structuring for greater clarity.</t>
  </si>
  <si>
    <t>Editing: Basic organisation of footage is present. Develop more consistent pacing and narrative progression through stronger editorial choices.</t>
  </si>
  <si>
    <t>Editing: Technical handling in Avid Media Composer shows developing understanding. Spend more time refining workflow discipline and timeline organisation.</t>
  </si>
  <si>
    <t>Editing: Information is communicated clearly in sections. Focus on emotional shaping through rhythm, pacing, and sound integration.</t>
  </si>
  <si>
    <t>Editing: Participation in documentary editing exercises is evident. Improve workflow structure and progression to strengthen narrative clarity.</t>
  </si>
  <si>
    <t>Editing: Sound and music usage is visible. Develop stronger integration between rhythm, narrative intention, and emotional progression.</t>
  </si>
  <si>
    <t>Editing: Basic understanding across narrative, rhythm, and workflow is present. Continue practising consistently to improve technical and creative integration.</t>
  </si>
  <si>
    <t>Editing: Demonstrates initial effort in organising footage. Focus on structuring material into a more coherent and engaging narrative progression.</t>
  </si>
  <si>
    <t>Editing: Some rhythmic experimentation is visible. Improve the relationship between sound, music, and visual timing to shape stronger filmic flow.</t>
  </si>
  <si>
    <t>Editing: Documentary material has been assembled with basic intent. Develop stronger pacing and progression choices to shape meaning effectively.</t>
  </si>
  <si>
    <t>Editing: Basic familiarity with Avid Media Composer is evident. Spend more time practising workflow discipline and technical execution.</t>
  </si>
  <si>
    <t>Editing: Attempts at scene construction are present. Focus on improving organisation and continuity throughout the editing process.</t>
  </si>
  <si>
    <t>Editing: Some mood-building efforts can be identified. Improve rhythm and sound-image integration for greater emotional engagement.</t>
  </si>
  <si>
    <t>Editing: Willingness to work with raw footage is visible. Develop stronger narrative logic so scenes do not feel disconnected or random.</t>
  </si>
  <si>
    <t>Editing: Participation in workflow exercises is evident. Continue building consistency across rhythm, documentary structuring, and technical handling to meet the expected standard.</t>
  </si>
  <si>
    <t>Sound Design: Basic understanding of Production Sound Recording; needs significant improvement in technical and creative aspects of Sound Edting and Sound Fx Design</t>
  </si>
  <si>
    <t>Sound Design: Requires significant improvement in all ideating, planning and executing a Design in Sound for Documentary</t>
  </si>
  <si>
    <t>Production: Align your technical decisions more closely with your project goals.</t>
  </si>
  <si>
    <t>Production: Maintain an organized project structure to ensure your production remains efficient.</t>
  </si>
  <si>
    <t>Production: Coordinate your production practices more effectively to ensure a cohesive and final project.</t>
  </si>
  <si>
    <t>Production: Shows a developing ability to handle advanced tools, Focus on consistent  production control.</t>
  </si>
  <si>
    <t>Production: Complete every production phase in sequence to ensure better production practices.</t>
  </si>
  <si>
    <t xml:space="preserve">Production: Commit to completing each production milestone thoroughly before transitioning to the next stage. </t>
  </si>
  <si>
    <t>Production: Focus on every phase of the workflow is essential.</t>
  </si>
  <si>
    <t>Production: Establish a more disciplined approach to workflow to produce outcomes that reflect a precision and oversight.</t>
  </si>
  <si>
    <t>Outstanding integration of VFX elements that enhance the documentary naturally; continue refining compositing and cinematic color workflows.</t>
  </si>
  <si>
    <t>Excellent motion graphics, tracking, and visual enhancement work; improve advanced particle effects and seamless render optimization.</t>
  </si>
  <si>
    <t>Strong VFX support for storytelling with professional compositing quality; focus on more realistic lighting and shadow integration.</t>
  </si>
  <si>
    <t>Creative use of VFX techniques that elevate the documentary presentation; enhance texture detailing and advanced masking precision.</t>
  </si>
  <si>
    <t>Very good balance between live-action footage and visual effects; continue improving CGI realism and dynamic transitions.</t>
  </si>
  <si>
    <t>Impressive post-production pipeline with clean visual execution; experiment with advanced simulation and atmospheric effects.</t>
  </si>
  <si>
    <t>High-quality visual enhancement and editing consistency throughout the project; improve render efficiency and motion blur accuracy.</t>
  </si>
  <si>
    <t>Professional-level VFX implementation with strong technical understanding; continue exploring industry-standard compositing and finishing techniques.</t>
  </si>
  <si>
    <t>Good use of VFX elements to support storytelling; improve compositing smoothness and tracking accuracy.</t>
  </si>
  <si>
    <t>Motion graphics and effects are visually effective in parts; work on color matching and layer blending techniques.</t>
  </si>
  <si>
    <t>Strong effort in integrating VFX into documentary visuals; improve masking precision and rendering consistency.</t>
  </si>
  <si>
    <t>Visual effects enhance the presentation well; focus on smoother transitions and realistic lighting integration.</t>
  </si>
  <si>
    <t>Decent compositing and editing workflow demonstrated; continue practicing clean keying and stabilization techniques.</t>
  </si>
  <si>
    <t>Good attempt at creating engaging visual effects; improve timing, animation smoothness, and effect placement.</t>
  </si>
  <si>
    <t>VFX execution supports the narrative adequately; refine texture quality and cinematic finishing processes.</t>
  </si>
  <si>
    <t>Overall good technical effort in post-production; continue developing advanced compositing and motion design skills.</t>
  </si>
  <si>
    <t>Basic VFX techniques are applied, but integration needs improvement; focus on cleaner compositing and alignment.</t>
  </si>
  <si>
    <t>Effects support the documentary in limited areas; improve tracking stability and transition quality.</t>
  </si>
  <si>
    <t>Project shows understanding of simple VFX workflows; work on color correction and masking accuracy.</t>
  </si>
  <si>
    <t>Some creative VFX ideas are visible; improve render quality and consistency between shots.</t>
  </si>
  <si>
    <t>Motion graphics are functional but require smoother animation and better timing control.</t>
  </si>
  <si>
    <t>Shows functional understanding of motion graphics, but requires improvement in animation smoothness and timing control for better visual flow.</t>
  </si>
  <si>
    <t>Visual effects need stronger blending with live-action footage; practice lighting and shadow matching techniques.</t>
  </si>
  <si>
    <t>Editing and VFX coordination require improvement; focus on organized layering and cleaner visual output.</t>
  </si>
  <si>
    <t>Fair attempt at post-production enhancement; continue practicing basic compositing, keying, and motion graphics workflows.</t>
  </si>
  <si>
    <t>VFX implementation requires stronger technical understanding; focus on basic compositing and editing fundamentals.</t>
  </si>
  <si>
    <t>Effects appear disconnected from live-action footage; improve tracking, masking, and scene integration.</t>
  </si>
  <si>
    <t>Project demonstrates minimal VFX workflow application; practice simple motion graphics and clean transitions.</t>
  </si>
  <si>
    <t>Rendering quality and effect consistency need significant improvement; focus on proper layer management.</t>
  </si>
  <si>
    <t>Basic post-production effort is visible; improve color matching and avoid overuse of effects.</t>
  </si>
  <si>
    <t>VFX elements lack smooth integration with the documentary narrative; develop stronger editing and timing control.</t>
  </si>
  <si>
    <t>Technical execution requires more refinement; continue practicing keying, stabilization, and visual continuity.</t>
  </si>
  <si>
    <t>Continue building foundational VFX skills in compositing, motion design, rendering, and cinematic post-production techniques.</t>
  </si>
  <si>
    <t>Direction: Shows limited understanding of workflow, requiring substantial improvement in planning and execution. Develop more detailed shot breakdowns and production preparation to improve clarity during execution.</t>
  </si>
  <si>
    <t>Screenwriting: Uses non-linear elements such as ellipsis or reverse chronology, though transitions can be unclear. Focus on making each temporal shift purposeful and clearly signposted — the reader must always know where they are in the story.</t>
  </si>
  <si>
    <t>Screenwriting: Shows understanding of different formats, though distinctions between film, television, and web writing are not always precise. Analyse the specific structural and tonal conventions of each format — precision here will strengthen the authenticity of the work.</t>
  </si>
  <si>
    <t xml:space="preserve">Screenwriting: Dialogue is functional but occasionally expository; subtext and visual storytelling are present but not consistently sustained. Work more on communicating emotions through visuals and subtext instead of relying only on dialogues.
</t>
  </si>
  <si>
    <t>Screenwriting: Demonstrates basic understanding of storytelling techniques, though their application remains superficial. Devise techniques to deploy them with intention — how structure, character, and theme interact is what gives a script depth.</t>
  </si>
  <si>
    <t>Screenwriting: Attempts to create dramatic tension, but pacing and rhythm are uneven and lack control. Analyze how scene length and beat placement build and release tension — controlled pacing is the engine of dramatic engagement.</t>
  </si>
  <si>
    <t>Screenwriting: Use of non-linear storytelling is unclear, affecting narrative coherence. Each departure from chronology must earn its place — Rationalize each time-shift that serves the story's emotional or thematic logic.</t>
  </si>
  <si>
    <t>Screenwriting: Montage sequences are attempted but lack clear purpose or integration of sound elements. Explore what each montage needs to achieve emotionally before writing it, and consider how sound will amplify — not merely accompany — the image.</t>
  </si>
  <si>
    <t>Screenwriting: Limited understanding of writing across formats, with inconsistent structural approach. Analyse the distinct conventions of film, television, and web writing — each format has its own structural logic.</t>
  </si>
  <si>
    <t>Screenwriting: Web series bible is underdeveloped, with weak episodic structure and unclear character arcs. Focus more on episode flow and giving each character a clearer journey.</t>
  </si>
  <si>
    <t>Screenwriting: Limited contribution to collaborative processes, with ideas lacking development. Work on participating more consistently and building further on both your own ideas and others’ inputs.</t>
  </si>
  <si>
    <t>Screenwriting: Dialogue is direct and expository, with minimal subtext; scenes rely more on telling than visual storytelling. Practise writing scenes where the dialogue says less than what is happening — subtext and visual action communicate more powerfully than exposition.</t>
  </si>
  <si>
    <t>Screenwriting: Needs stronger understanding and application of storytelling techniques, with more purposeful use of narrative devices and structural choices.</t>
  </si>
  <si>
    <t>Screenwriting: Would benefit from clearer dramatic tension through stronger conflict, pacing, and scene progression to sustain audience engagement.</t>
  </si>
  <si>
    <t>Screenwriting: Needs further practice in applying non-linear structures with clarity, so that shifts in time and narrative remain purposeful and coherent.</t>
  </si>
  <si>
    <t>Screenwriting: Montage sequences would benefit from clearer visual progression and more effective integration of sound, rhythm, and narrative intent.</t>
  </si>
  <si>
    <t>Screenwriting: Needs stronger awareness of format-specific writing conventions, with clearer structural approaches suited to different mediums.</t>
  </si>
  <si>
    <t>Screenwriting: Web series bible would benefit from stronger episodic structure and clearer season-level progression to improve overall coherence.</t>
  </si>
  <si>
    <t>Screenwriting: Needs continued practice in core writing fundamentals, particularly in reducing expository dialogue and strengthening subtext, visual writing, and scene purpose.</t>
  </si>
  <si>
    <t>Screenwriting: Would benefit from more consistent application of Semester IV concepts, with greater attention to structure, tension, and execution.</t>
  </si>
  <si>
    <t>Executes track and trolley movements with precision, maintaining smooth motion and strong spatial awareness within the scene.</t>
  </si>
  <si>
    <t>Demonstrates confident coordination between camera movement and subject blocking, ensuring clarity and continuity.</t>
  </si>
  <si>
    <t>Operates wireless focus systems with accuracy, maintaining consistent focus even during complex movements.</t>
  </si>
  <si>
    <t>Manages multi-camera setups effectively, ensuring continuity in framing, exposure and screen direction.</t>
  </si>
  <si>
    <t>Designs lighting that convincingly represents different times of day, with clear control over mood and transitions.</t>
  </si>
  <si>
    <t>Handles complex lighting situations (interior–exterior, day–night transitions, dynamic sources) with strong planning and execution.</t>
  </si>
  <si>
    <t>Applies lighting strategies that remain consistent and adaptable across multi-camera setups.</t>
  </si>
  <si>
    <t>Demonstrates strong control over color correction workflows, achieving balanced footage, continuity and refined visual tone.</t>
  </si>
  <si>
    <t>Executes track and trolley movements with good control and can refine smoothness and spatial consistency.</t>
  </si>
  <si>
    <t>Coordinates camera movement with subject action effectively and can improve timing for greater clarity.</t>
  </si>
  <si>
    <t>Uses wireless focus systems reliably and can enhance precision during more complex shots.</t>
  </si>
  <si>
    <t>Handles multi-camera setups with awareness and can improve consistency across framing and exposure.</t>
  </si>
  <si>
    <t>Designs lighting to represent time-of-day scenarios and can refine transitions for stronger visual continuity.</t>
  </si>
  <si>
    <t>Approaches complex lighting situations with intent and can improve execution through more detailed planning.</t>
  </si>
  <si>
    <t>Maintains lighting consistency across cameras with scope to refine matching and balance.</t>
  </si>
  <si>
    <t>Applies color correction techniques effectively and can enhance continuity and tonal control with further refinement.</t>
  </si>
  <si>
    <t>Demonstrates a basic approach to track and trolley movement and can improve by developing smoother and more controlled motion.</t>
  </si>
  <si>
    <t>Coordinates camera and subject movement at a functional level and can strengthen timing and clarity.</t>
  </si>
  <si>
    <t>Uses wireless focus systems at a basic level and can improve accuracy through practice and anticipation.</t>
  </si>
  <si>
    <t>Participates in multi-camera setups and can improve by maintaining consistency across shots.</t>
  </si>
  <si>
    <t>Attempts lighting for different times of day and can improve by refining control over mood and transitions.</t>
  </si>
  <si>
    <t>Approaches complex lighting situations with initial understanding and can strengthen execution through structured planning.</t>
  </si>
  <si>
    <t>Lighting consistency across cameras is developing and can improve with attention to matching exposure and color.</t>
  </si>
  <si>
    <t>Applies basic color correction and can improve by developing stronger control over balance and continuity.</t>
  </si>
  <si>
    <t>Is developing control over track and trolley movement and can improve by focusing on smooth and stable execution.</t>
  </si>
  <si>
    <t>Coordination between camera and subject requires strengthening and can improve through rehearsal and planning.</t>
  </si>
  <si>
    <t>Wireless focus operation is at an early stage and can improve with guided practice in maintaining focus.</t>
  </si>
  <si>
    <t>Understanding of multi-camera workflow is developing and can improve by focusing on consistency across shots.</t>
  </si>
  <si>
    <t>Lighting for time-of-day requires further development and can improve by studying basic lighting patterns.</t>
  </si>
  <si>
    <t>Handling of complex lighting situations is at an early stage and can improve through simplified setup practice.</t>
  </si>
  <si>
    <t>Lighting consistency across cameras needs attention and can be strengthened by matching exposure and color.</t>
  </si>
  <si>
    <t>Color correction workflow is developing and can improve by practicing basic balancing and shot matching techniques.</t>
  </si>
  <si>
    <t>Editing: Demonstrates strong understanding of mise-en-scène, spatial continuity, and rhythm construction. Continue refining tonal contrast and sensory cutting for greater dramatic precision.</t>
  </si>
  <si>
    <t>Editing: Blocking, staging, and movement are interpreted clearly within complex scenes. Continue deepening axial and tonal cutting choices to strengthen meaning.</t>
  </si>
  <si>
    <t>Editing: Performance shaping through timing and shot selection is handled confidently. Further refine rhythm and sound-image integration for more layered emotional impact.</t>
  </si>
  <si>
    <t>Editing: Internal and external rhythm are balanced effectively across sequences. Continue refining workflow precision from ingest to DI delivery for smoother execution.</t>
  </si>
  <si>
    <t>Editing: Take selection and progression demonstrate mature editorial thinking. Explore more nuanced control over filmic time and emotional transitions.</t>
  </si>
  <si>
    <t>Editing: Sound, music, and visual rhythm work cohesively together. Continue strengthening tonal variation and scene dynamics for richer storytelling.</t>
  </si>
  <si>
    <t>Editing: DIT workflow discipline and media organisation are highly reliable. Push creative experimentation further within spatial and rhythmic construction.</t>
  </si>
  <si>
    <t>Editing: Demonstrates strong integration of spatial reading, rhythm, workflow, and advanced cutting techniques. Continue refining technical polish and finishing precision.</t>
  </si>
  <si>
    <t>Editing: Spatial continuity and mise-en-scène awareness are handled well. Focus on developing stronger tonal and sensory cutting approaches.</t>
  </si>
  <si>
    <t>Editing: Rhythm and music integration show promise across scenes. Improve handling of spatial reversals and axial relationships for greater clarity.</t>
  </si>
  <si>
    <t>Editing: Data copying, backups, and transcoding workflows are managed reliably. Continue developing more expressive editorial decision-making.</t>
  </si>
  <si>
    <t>Editing: Performance shaping through timing is effective in parts. Improve workflow organisation and delivery consistency across projects.</t>
  </si>
  <si>
    <t>Editing: Attempts at tonal and sensory cutting are visible. Focus on integrating these techniques more clearly within narrative progression.</t>
  </si>
  <si>
    <t>Editing: Staging and continuity are maintained with stability. Develop stronger sound and music integration within rhythm construction.</t>
  </si>
  <si>
    <t>Editing: Demonstrates understanding of spatial editing and workflow systems. Continue building a more unified relationship between rhythm, staging, and emotional shaping.</t>
  </si>
  <si>
    <t>Editing: Technical and spatial aspects are managed adequately. Focus on deepening advanced cutting techniques and workflow precision.</t>
  </si>
  <si>
    <t>Editing: Basic understanding of staging and continuity is visible. Improve handling of spatial reversals and viewer orientation within scenes.</t>
  </si>
  <si>
    <t>Editing: Some effort are shown toward shaping rhythm and time. Develop stronger control over tonal and sensory cutting techniques.</t>
  </si>
  <si>
    <t>Editing: Performance timing and take selection show developing awareness. Focus on building clearer emotional progression through editing choices.</t>
  </si>
  <si>
    <t>Editing: Basic technical workflow participation is present. Improve consistency in backups, metadata organisation, and media handling practices.</t>
  </si>
  <si>
    <t>Editing: Sound and music integration are partially functional. Focus on preparing cleaner and more accurate outputs for sound and DI workflows.</t>
  </si>
  <si>
    <t>Editing: Scene construction shows narrative intent in parts. Develop stronger responses to staging, movement, and emotional shifts within cuts.</t>
  </si>
  <si>
    <t>Editing: Some experimentation with axial and tonal relationships is visible. Improve rhythm consistency and spatial clarity across sequences.</t>
  </si>
  <si>
    <t>Editing: Participation in advanced workflow exercises is consistent. Strengthen integration between spatial editing, rhythm, and technical workflow practices to make the efforts discernible.</t>
  </si>
  <si>
    <t>Editing: Demonstrates initial awareness of scene construction and staging. Focus on understanding 360° spatial relationships to improve viewer orientation.</t>
  </si>
  <si>
    <t>Editing: Some pacing decisions are visible within scenes. Develop stronger control over rhythm and emotional progression through timing choices.</t>
  </si>
  <si>
    <t>Editing: Attempts at shaping performances through editing are present. Improve take selection and shot timing to support dramatic intent more effectively.</t>
  </si>
  <si>
    <t>Editing: Shows willingness to experiment with advanced cutting styles. Spend more time understanding tonal, sensory, and axial cutting principles.</t>
  </si>
  <si>
    <t>Editing: Basic engagement with DIT workflows is visible. Improve consistency in backups, transcoding, metadata tagging, and media organisation.</t>
  </si>
  <si>
    <t>Editing: Some sound integration is attempted. Focus on creating cleaner workflow coordination for Pro Tools and DI delivery.</t>
  </si>
  <si>
    <t>Editing: Workflow structure is partially visible. Develop a clearer process from ingestion to final output for more reliable execution.</t>
  </si>
  <si>
    <t>Editing: Greater consistency in attendance, coursework engagement, and project contribution is required to develop the technical and creative skills expected at this stage of the programme.</t>
  </si>
  <si>
    <t xml:space="preserve">Sound Design: Displays good skills of Sound Editing and Music Design with scope of refinement in Production Sound Recording </t>
  </si>
  <si>
    <t>Sound Design: Maintains basic recording standards in Production Sound; Needs to maintain consistency in Ambience Design and Sound Effects Design</t>
  </si>
  <si>
    <t>Sound Design: Basic capability in all the subject of Semester IV; requires more consistency and precision in any of the fields</t>
  </si>
  <si>
    <t>Sound Design: Needs special care to improve skills of Music Design and Sound Editing</t>
  </si>
  <si>
    <t xml:space="preserve">Sound Design: Significantly improve the sense of syncing and tonal quality in Sound Effects Laying </t>
  </si>
  <si>
    <t>Production: Demonstrates the basic skills required, work on the professional depth expected at this stage.</t>
  </si>
  <si>
    <t>Production: Shows a foundational understanding of the tools; focus more on inconsistencies in the final execution.</t>
  </si>
  <si>
    <t>Production: Projects are generally aligned with the brief, production execution needs the clarity of intent required.</t>
  </si>
  <si>
    <t>Production: Manages the basic requirements of the workflow, yet struggles with the precision needed for complex tasks.</t>
  </si>
  <si>
    <t>Production: Fundamental production tasks are completed; attention to detail is required for production work flow.</t>
  </si>
  <si>
    <t>Production: Demonstrates the ability to follow instructions; Strengthen the bridge between your production plans and the actual capture proces.</t>
  </si>
  <si>
    <t>Production: Commit to a thorough review of production planinng ensuring your execution is reliable and ready for the project.</t>
  </si>
  <si>
    <t>Production: Bridge the gap between planning and the shoot by creating a more detailed production planing that accounts for every technical requirement in advance.</t>
  </si>
  <si>
    <t>Production: Synchronize your production goals with the technical brief to ensure that every planned setup contributes directly to a cohesive final product.</t>
  </si>
  <si>
    <t>Production: Re-align your production workflow with the specific goals of the project to ensure you ready for the project.</t>
  </si>
  <si>
    <t>Production: Focus on the full execution of your production plan ensuring that your final deliverables reflect the brief.</t>
  </si>
  <si>
    <t>Production: Formalize your step-by-step production process to ensure you can handle challenges with more stability.</t>
  </si>
  <si>
    <t>Exceptional execution of long take VFX planning with seamless continuity; continue refining invisible compositing and camera tracking precision.</t>
  </si>
  <si>
    <t>Excellent synchronization of visual effects with music beats and rhythm; explore more advanced match-cut and transition design.</t>
  </si>
  <si>
    <t>Professional-level stabilization and motion tracking in complex long take sequences; improve subtle lighting consistency across cuts.</t>
  </si>
  <si>
    <t>Strong cinematic flow in music video with high-quality VFX integration; enhance volumetric lighting and atmosphere depth.</t>
  </si>
  <si>
    <t>Outstanding use of CGI and practical integration in continuous shots; focus on micro-detail realism and edge blending.</t>
  </si>
  <si>
    <t>Impressive post-production workflow maintaining visual continuity throughout long takes; refine motion blur accuracy and camera simulation.</t>
  </si>
  <si>
    <t>Highly creative visual storytelling using rhythm-based VFX timing; experiment with advanced simulation and procedural effects.</t>
  </si>
  <si>
    <t>Industry-standard compositing and editing techniques applied; continue exploring advanced virtual camera and digital set extensions.</t>
  </si>
  <si>
    <t>Good execution of long take structure with effective VFX integration; improve tracking stability and continuity refinement.</t>
  </si>
  <si>
    <t>Music video timing is well aligned with effects; enhance beat-matching precision and smoother transition blending.</t>
  </si>
  <si>
    <t>Strong attempt at continuous shot VFX; improve lighting consistency across stitched or masked sections.</t>
  </si>
  <si>
    <t>Visual effects support narrative and rhythm well; focus on cleaner compositing and color grading balance.</t>
  </si>
  <si>
    <t>Decent stabilization and motion tracking; continue improving object removal and background cleanup techniques.</t>
  </si>
  <si>
    <t>Good use of transitions and motion graphics; refine animation smoothness and visual pacing control.</t>
  </si>
  <si>
    <t>VFX integration is effective but slightly noticeable in some shots; improve edge blending and shadow matching.</t>
  </si>
  <si>
    <t>Solid post-production effort; continue developing advanced compositing and cinematic finishing workflows.</t>
  </si>
  <si>
    <t>Demonstrates competent post-production workflow, with further development needed in advanced compositing and cinematic finishing techniques.</t>
  </si>
  <si>
    <t>Basic long take execution with noticeable cuts or tracking issues; focus on smoother continuity and stabilization.</t>
  </si>
  <si>
    <t>Music synchronization is inconsistent; improve timing alignment between visuals and audio beats.</t>
  </si>
  <si>
    <t>VFX integration is present but lacks realism; work on compositing accuracy and masking refinement.</t>
  </si>
  <si>
    <t>Camera tracking requires improvement; stabilize motion and reduce jitter in long sequences.</t>
  </si>
  <si>
    <t>Transitions appear abrupt or visible; practice smoother blending techniques and match cuts.</t>
  </si>
  <si>
    <t>Lighting mismatch between shots affects continuity; improve color correction and scene matching.</t>
  </si>
  <si>
    <t>Motion graphics are basic and need better pacing control; refine animation timing and flow.</t>
  </si>
  <si>
    <t>Continue practicing long take planning, compositing basics and visual rhythm editing techniques.</t>
  </si>
  <si>
    <t>Long take structure is not clearly maintained; focus on basic continuity editing and shot planning.</t>
  </si>
  <si>
    <t>VFX elements appear disconnected from live footage; improve tracking, masking and integration fundamentals.</t>
  </si>
  <si>
    <t>Music synchronization is weak or inconsistent; develop better timing and beat awareness in editing.</t>
  </si>
  <si>
    <t>Stabilization issues are visible throughout; practice camera stabilization and motion correction tools.</t>
  </si>
  <si>
    <t>Transitions are rough and unpolished; focus on simple clean cuts before advanced effects.</t>
  </si>
  <si>
    <t>Lighting and color mismatch significantly affect realism; improve basic color grading skills.</t>
  </si>
  <si>
    <t>Motion graphics lack structure and clarity; practice foundational animation principles.</t>
  </si>
  <si>
    <t>Strong emphasis needed on learning core VFX pipeline: compositing, continuity, tracking, and editing discipline.</t>
  </si>
  <si>
    <t>Direction: Demonstrates limited understanding of episodic storytelling, with weak thematic coherence. Identify a clear central theme before scripting — when theme threads consistently across episodes, the series gains identity and purpose.</t>
  </si>
  <si>
    <t>Direction: Attempts series structure, but episodes feel disconnected in tone and narrative. Establish a series bible that defines tone, world, and narrative arc — all episodes must feel part of the same story universe.</t>
  </si>
  <si>
    <t>Direction: Character development is inconsistent, affecting overall engagement. Map each character's arc clearly before production — audiences invest in characters who change and grow in ways that feel earned.</t>
  </si>
  <si>
    <t>Direction: Displays basic direction skills, though lacks control over pacing and progression. Analyse how rhythm and momentum are shaped in the edit and on the set — pacing is a craft skill that improves significantly with deliberate practice.</t>
  </si>
  <si>
    <t>Direction: Limited awareness of VOD format and audience retention strategies. Research how VOD audiences engage with series content — understanding hooks, episode length, and retention techniques is essential for this format.</t>
  </si>
  <si>
    <t>Direction: Needs consistent, structured communication with all departments to have better narrative quality</t>
  </si>
  <si>
    <t>Direction: Relies primarily on dialogue, with minimal visual storytelling. Develop a visual storytelling vocabulary — composition, movement, and environment should carry narrative weight alongside, instead of just words.</t>
  </si>
  <si>
    <t>Direction: Explore pre-production planning more actively — detailed shot lists, rehearsals, and departmental briefings ensure that good intentions translate into polished execution.</t>
  </si>
  <si>
    <t>Direction: Lacks a clear episodic vision, with no consistent theme or narrative direction and identity. Establish what the series is about and how each episode serves that core.</t>
  </si>
  <si>
    <t>Direction: Episodes are disjointed, failing to establish continuity or progression. Plan continuity and narrative progression across episodes at the series design stage — each episode must connect and build on the one before it.</t>
  </si>
  <si>
    <t>Direction: Character arcs are unclear or absent, reducing audience engagement. Define character arcs before scripting — change, conflict, and growth are what make audiences return to a series.</t>
  </si>
  <si>
    <t>Direction: Direction shows minimal control over tone, pacing, and storytelling. Develop command over each of these with focused studies and consistent, reflective practice.</t>
  </si>
  <si>
    <t>Direction: Poor integration of departments, resulting in an inconsistent output. Strengthen interdepartmental coordination so that the overall output feels more consistent and cohesive.</t>
  </si>
  <si>
    <t>Direction: Over-reliance on dialogue with little cinematic expression. Focus more on visual storytelling and communicate emotions through actions and imagery.</t>
  </si>
  <si>
    <t>Direction: Inadequate planning and execution across production stages. Treat each production stage as a discipline in itself — systematic planning, clear responsibilities, and structured execution are non-negotiable professional skills.</t>
  </si>
  <si>
    <t>Direction: Shows limited understanding of VOD storytelling and collaborative workflow. Analyze VOD series structure and platform conventions alongside developing stronger collaborative practices — both are foundational competencies for this discipline.</t>
  </si>
  <si>
    <t>Screenwriting: Synopses present a coherent structure, though character arcs and escalation of stakes are uneven. Map each character's arc and the escalation of stakes explicitly before writing — unevenness here weakens the emotional drive of the whole narrative.</t>
  </si>
  <si>
    <t>Screenwriting: Shows understanding of structural choices, though connection between form, theme, and audience impact is not consistently realised. Refine story structure so that it supports both the theme and the overall emotional journey more effectively.</t>
  </si>
  <si>
    <t>Screenwriting: Demonstrates basic understanding of non-linear or alternative structures, though execution leads to confusion. Work on improving clarity and progression so that the audience can follow the narrative more easily.</t>
  </si>
  <si>
    <t>Screenwriting: Demonstrates basic understanding of non-linear or alternative structures, though execution leads to confusion. Need more motivation for each structural departure to not to loose grip.</t>
  </si>
  <si>
    <t>Screenwriting: Engagement with real-life events is superficial, with limited consideration of ethical or narrative positioning. Work on approaching real-life material with greater depth, clarity, and sensitivity.</t>
  </si>
  <si>
    <t xml:space="preserve">Screenwriting: Advertisement writing lacks conceptual clarity, with weak or unfocused central ideas. Develop on focused concepts to improve clarity, engagement, and overall impact.
</t>
  </si>
  <si>
    <t>Screenwriting: Feature-length ideas lack clear premise, with insufficient narrative direction or thematic grounding. Strengthen the central narrative idea so the story feels more focused and cohesive.</t>
  </si>
  <si>
    <t>Screenwriting: Synopses are loosely structured, with unclear arcs and weak sense of progression. Work on creating clearer story flow and stronger connections between major plot points.</t>
  </si>
  <si>
    <t>Screenwriting: Limited understanding of structural intent, resulting in form that appears arbitrary or disconnected from meaning. Refine structural decisions so the storytelling feels more intentional and cohesive.</t>
  </si>
  <si>
    <t>Screenwriting: Feature concepts show limited awareness of scale, with ideas that do not sustain long-form development. Refine the premise and narrative complexity so that the story feels strong enough for feature-length development.</t>
  </si>
  <si>
    <t>Screenwriting: Needs stronger understanding of non-linear and experimental structures, with greater clarity in how form supports storytelling and audience engagement.</t>
  </si>
  <si>
    <t>Screenwriting: Would benefit from deeper engagement with source material, focusing on interpretation, adaptation choices, and narrative recontextualisation.</t>
  </si>
  <si>
    <t>Screenwriting: Real-life narratives need clearer framing and stronger consideration of perspective, context, and ethical implications within the storytelling.</t>
  </si>
  <si>
    <t>Screenwriting: Feature-length ideas need further development in premise, stakes, and narrative direction to demonstrate stronger long-form potential.</t>
  </si>
  <si>
    <t>Screenwriting: Advertisement concepts would benefit from a more clearly defined central idea, target audience, and communicative intent.</t>
  </si>
  <si>
    <t>Screenwriting: Synopses would benefit from clearer structure, narrative progression, and stronger focus on character movement and dramatic development.</t>
  </si>
  <si>
    <t>Screenwriting: Needs further clarity in applying structural intent, ensuring that formal choices feel purposeful and meaningfully connected to the narrative.</t>
  </si>
  <si>
    <t>Screenwriting: Feature concepts would benefit from stronger long-form thinking, with greater attention to narrative sustainability and development scope.</t>
  </si>
  <si>
    <t>Executes complex camera movements using crane, gimbal and vehicle rigs with precision and clear narrative intent.</t>
  </si>
  <si>
    <t>Maintains accurate focus using wireless systems during dynamic shots, demonstrating strong anticipation and coordination.</t>
  </si>
  <si>
    <t>Adapts camera techniques effectively to suit different visual styles and storytelling approaches.</t>
  </si>
  <si>
    <t>Designs and controls lighting for VFX (green/blue screen) with accuracy, ensuring clean separation and consistency.</t>
  </si>
  <si>
    <t>Handles challenging lighting situations, including available light and night setups, with confidence and clarity.</t>
  </si>
  <si>
    <t>Constructs sequences with strong visual continuity, ensuring shots connect meaningfully within the narrative.</t>
  </si>
  <si>
    <t>Analyzes and applies cinematographic styles thoughtfully, reflecting a clear understanding of visual language.</t>
  </si>
  <si>
    <t>Manages color workflows across different camera sources, achieving consistent correction, matching and grading.</t>
  </si>
  <si>
    <t>Executes advanced camera movements with good control and can refine precision and smoothness in complex setups.</t>
  </si>
  <si>
    <t>Uses wireless focus systems effectively and can improve consistency during fast or unpredictable motion.</t>
  </si>
  <si>
    <t>Adapts to different visual styles with awareness and can refine execution to better match intent.</t>
  </si>
  <si>
    <t>Applies lighting for VFX setups with understanding and can improve accuracy in separation and control.</t>
  </si>
  <si>
    <t>Approaches low-light and available light situations effectively, with scope to enhance clarity and consistency.</t>
  </si>
  <si>
    <t>Builds sequences with logical continuity and can strengthen shot connections for smoother visual flow.</t>
  </si>
  <si>
    <t>Demonstrates understanding of cinematographic styles and can apply them with greater clarity and confidence.</t>
  </si>
  <si>
    <t>Handles color workflows across camera sources with good results and can refine matching and grading consistency.</t>
  </si>
  <si>
    <t>Demonstrates a functional approach to advanced camera rigs and can improve through better control and planning.</t>
  </si>
  <si>
    <t>Uses wireless focus systems at a basic level and can strengthen accuracy during movement-heavy shots.</t>
  </si>
  <si>
    <t>Shows initial understanding of visual styles and can improve by applying them more clearly in execution.</t>
  </si>
  <si>
    <t>Attempts lighting for VFX setups and can improve by focusing on even lighting and subject separation.</t>
  </si>
  <si>
    <t>Handles available light situations at a basic level and can improve control in low-light conditions.</t>
  </si>
  <si>
    <t>Constructs sequences with basic continuity and can strengthen connections between shots.</t>
  </si>
  <si>
    <t>Demonstrates developing analytical understanding of cinematography and can improve depth of interpretation.</t>
  </si>
  <si>
    <t>Applies basic color correction across camera sources and can improve consistency in matching and grading.</t>
  </si>
  <si>
    <t>Is developing control over advanced camera rigs and can improve by focusing on stability and coordination.</t>
  </si>
  <si>
    <t>Wireless focus operation requires strengthening and can improve through guided practice in timing and control.</t>
  </si>
  <si>
    <t>Understanding of visual styles is at an early stage and can improve through observation and application exercises.</t>
  </si>
  <si>
    <t>Lighting for VFX setups requires development and can improve by focusing on fundamental lighting balance.</t>
  </si>
  <si>
    <t>Handling of available and low-light situations is limited and can improve through basic exposure and lighting practice.</t>
  </si>
  <si>
    <t>Sequence construction requires structure and can improve by planning shot progression more clearly.</t>
  </si>
  <si>
    <t>Analytical understanding of cinematography is developing and can improve through detailed study of films.</t>
  </si>
  <si>
    <t>Color workflow across camera sources is at an early stage and can improve by practicing basic correction and matching.</t>
  </si>
  <si>
    <t>Editing: Demonstrates strong control over genre, tension, and narrative structuring. Continue refining expressive layering and montage depth for greater thematic impact.</t>
  </si>
  <si>
    <t>Editing: Rhythm, pacing, and emotional progression are handled confidently across sequences. Explore more complex signification and juxtaposition strategies within montage.</t>
  </si>
  <si>
    <t>Editing: Narrative restructuring and POV control are highly effective. Continue refining VFX, graphics, and sound integration for stronger tonal cohesion.</t>
  </si>
  <si>
    <t>Editing: Build–release patterns and tension curves are shaped with clarity. Further strengthen macro-structural experimentation within long-form storytelling.</t>
  </si>
  <si>
    <t>Editing: Scene-level editing and overall structure are balanced effectively. Continue refining pacing variation and narrative transitions across episodes or sequences.</t>
  </si>
  <si>
    <t>Editing: Live action, VFX, motion graphics, and sound design are integrated cohesively. Push creative experimentation further within compositing and narrative rhythm.</t>
  </si>
  <si>
    <t>Editing: Demonstrates strong analytical thinking and editorial reasoning. Continue articulating creative choices more deeply within collaborative discussions.</t>
  </si>
  <si>
    <t>Editing: Shows strong integration of genre, montage, workflow, and collaboration. Continue refining technical precision and emotional layering for greater maturity.</t>
  </si>
  <si>
    <t>Editing: Genre tone and pacing are communicated effectively. Focus on developing deeper meaning through montage and juxtaposition choices.</t>
  </si>
  <si>
    <t>Editing: Tension-building and rhythm control are stable across scenes. Improve character POV shaping and relational dynamics within edits.</t>
  </si>
  <si>
    <t>Editing: Workflow systems and metadata handling are reliable. Push creative risk-taking further to avoid overly safe editorial structures.</t>
  </si>
  <si>
    <t>Editing: Narrative structure is clear and functional. Improve cohesion between graphics, VFX, and edit rhythm for smoother integration.</t>
  </si>
  <si>
    <t>Editing: Individual scenes demonstrate strong editorial thinking. Focus on strengthening macro narrative flow and progression across the full project.</t>
  </si>
  <si>
    <t>Editing: Attempts at thematic juxtaposition are visible. Continue refining conceptual clarity and emotional impact within montage construction.</t>
  </si>
  <si>
    <t>Editing: Collaboration with director and producer inputs is positive. Improve consistency in translating ideas into rhythm, structure, and pacing decisions.</t>
  </si>
  <si>
    <t>Editing: Demonstrates understanding across genre, montage, workflow, and VFX integration. Continue building a more unified editorial voice across projects.</t>
  </si>
  <si>
    <t>Editing: Basic genre and tonal direction are visible. Focus on creating more consistent pacing and emotional progression across sequences.</t>
  </si>
  <si>
    <t>Editing: Some structural organisation is present. Improve macro narrative cohesion so scenes connect more meaningfully within the larger story.</t>
  </si>
  <si>
    <t>Editing: Literal continuity is maintained in parts. Develop stronger montage thinking and juxtaposition choices to create deeper meaning.</t>
  </si>
  <si>
    <t>Editing: Some emotionally effective moments are visible. Improve continuity and progression consistency across the full sequence.</t>
  </si>
  <si>
    <t>Editing: Basic experimentation with graphics and VFX is perceptible. Focus on integrating technical elements more cohesively within narrative rhythm.</t>
  </si>
  <si>
    <t>Editing: Character relationships and POV shaping are partially visible. Develop stronger editorial choices that support emotional and dramatic clarity.</t>
  </si>
  <si>
    <t>Editing: Attempts at build–release patterns are present. Improve metric variation and tension shaping to strengthen engagement.</t>
  </si>
  <si>
    <t>Editing: There is an effort to participate in advanced editing and workflow exercises. Build practices for stable communication across artistic technique handling, collaboration, and workflow discipline.</t>
  </si>
  <si>
    <t>Editing: Demonstrates initial awareness of genre and narrative structure. Focus on creating clearer tonal consistency and scene progression.</t>
  </si>
  <si>
    <t>Editing: Some pacing and tension-building attempts are visible. Improve rhythm control and timing choices to strengthen audience engagement.</t>
  </si>
  <si>
    <t>Editing: Consistent attendance and engagement with project work are necessary to strengthen editing judgement, workflow discipline, and overall professional development.</t>
  </si>
  <si>
    <t>Editing: Workflow understanding is in parts correctly applied. Improve file management, backups, metadata organisation, and export discipline.</t>
  </si>
  <si>
    <t>Editing: Interest in graphics and compositing is visible. Focus on integrating VFX and motion graphics more meaningfully within storytelling.</t>
  </si>
  <si>
    <t>Editing: Partial collaborative participation is observable. Develop stronger engagement with feedback and narrative interpretation during discussions.</t>
  </si>
  <si>
    <t>Editing: Individual scene intent is visible in parts. Improve macro structure and continuity across sequences for stronger narrative flow.</t>
  </si>
  <si>
    <t>Editing: The students attempts to participate in long-form editing exercises. Strengthening of consistency required across genre construction, workflow, montage, and technical execution to support professional growth.</t>
  </si>
  <si>
    <t xml:space="preserve">Sound Design: Displays basic skills of all Sound Post Production works; needs more improvement in Audio Signal Processing </t>
  </si>
  <si>
    <t xml:space="preserve">Sound Design: Displays basic skills in Dubbing and Foley recording; needs more improvement in Music Recording </t>
  </si>
  <si>
    <t xml:space="preserve">Sound Design: Displays basic skills in Dubbing and Music recording; needs more improvement in Foley Recording </t>
  </si>
  <si>
    <t xml:space="preserve">Sound Design: Basic capability in handling Dubbing and Foley recording independently; needs to significantly improve skills of Sound Editing </t>
  </si>
  <si>
    <t>Production: Refine your inter-departmental procedures to ensure absolute consistency across the entire pipeline.</t>
  </si>
  <si>
    <t>Production: Strengthen your real-time troubleshooting strategies for professional workflow.</t>
  </si>
  <si>
    <t>Production: Demonstrates a basic capability in the tasks; maintain a functional production routine to ensure consistent quality across the entire shootm</t>
  </si>
  <si>
    <t>Production: Focus on a more structured approach to production work flow for organized environment.</t>
  </si>
  <si>
    <t>Production: Outcomes generally follow the brief, implement more precise production habits to elevates your project’s core intent.</t>
  </si>
  <si>
    <t>Production: Apply more critically on-set technical choices with your pre-production floor plans to achieve a more results</t>
  </si>
  <si>
    <t>Production: Establish a consistent daily production routine to ensure that the core technical requirements of the brief are met with basic stability.</t>
  </si>
  <si>
    <t>Production: Develop a production plan helping you manage your window of opportunity more effectively.</t>
  </si>
  <si>
    <t>Production: Focus on formalizing your basic pre-production notes to help stabilize your on-set routine and reduce the need for real-time troubleshooting.</t>
  </si>
  <si>
    <t>Exceptional consistency in VFX across episodic structure; maintain high standards of continuity and visual identity throughout the series.</t>
  </si>
  <si>
    <t>Excellent world-building through VFX integration; further enhance environment detailing and cinematic scale expansion.</t>
  </si>
  <si>
    <t>Professional-level compositing across multiple episodes; refine shot-to-shot lighting continuity and color grading uniformity.</t>
  </si>
  <si>
    <t>Strong narrative-driven VFX execution that supports episodic storytelling; explore deeper procedural and dynamic effects.</t>
  </si>
  <si>
    <t>Outstanding CGI integration with live-action sequences; improve micro-detail refinement and realism in complex scenes.</t>
  </si>
  <si>
    <t>Highly polished post-production pipeline ensuring visual consistency; continue optimizing render workflow for multi-episode output.</t>
  </si>
  <si>
    <t>Advanced motion tracking and camera work across episodes; experiment with virtual production and LED-volume style techniques.</t>
  </si>
  <si>
    <t>Industry-standard VFX execution with strong artistic and technical balance; continue exploring cinematic universe development techniques.</t>
  </si>
  <si>
    <t>Good consistency of VFX across episodes; improve continuity in lighting and scene transitions between sequences.</t>
  </si>
  <si>
    <t>Strong world-building effort; enhance environmental blending and background detail refinement.</t>
  </si>
  <si>
    <t>Demonstrates strong world-building capability, with scope for improved environmental blending and refined background detail integration for enhanced visual coherence.</t>
  </si>
  <si>
    <t>Effective compositing throughout the series; work on maintaining uniform color grading across episodes.</t>
  </si>
  <si>
    <t>VFX supports storytelling well; improve pacing of effects in narrative-heavy scenes.</t>
  </si>
  <si>
    <t>VFX effectively supports narrative intent, but pacing of effects in story-heavy sequences requires refinement to achieve more natural and cinematic integration.</t>
  </si>
  <si>
    <t>Decent CGI integration; refine edge blending and interaction with live-action elements.</t>
  </si>
  <si>
    <t>Good tracking and motion design; improve consistency in camera movement matching across episodes.</t>
  </si>
  <si>
    <t>Visual effects are engaging but occasionally inconsistent; focus on shot-to-shot polish and refinement.</t>
  </si>
  <si>
    <t>Solid post-production workflow; continue developing advanced episodic editing and compositing discipline.</t>
  </si>
  <si>
    <t>Post-production workflow is solid, but requires stronger episodic editing discipline and more advanced compositing consistency across sequences.</t>
  </si>
  <si>
    <t>Basic VFX consistency across episodes is uneven; focus on maintaining continuity in style and quality.</t>
  </si>
  <si>
    <t>World-building is limited; improve environmental design and background integration.</t>
  </si>
  <si>
    <t>Compositing varies in quality between shots; work on stability in color correction and blending.</t>
  </si>
  <si>
    <t>VFX supports story in parts but lacks uniform execution; improve planning for episodic workflow.</t>
  </si>
  <si>
    <t>CGI integration is inconsistent; focus on realistic lighting and shadow matching.</t>
  </si>
  <si>
    <t>Tracking and stabilization issues appear across episodes; refine motion consistency techniques.</t>
  </si>
  <si>
    <t>Transitions and effects lack smoothness; improve pacing and sequence flow.</t>
  </si>
  <si>
    <t>Continue practicing core VFX pipeline skills with emphasis on episodic storytelling structure.</t>
  </si>
  <si>
    <t>VFX consistency across episodes is weak; focus on establishing a structured post-production workflow.</t>
  </si>
  <si>
    <t>Minimal world-building effort; improve foundational environment design and scene planning.</t>
  </si>
  <si>
    <t>Compositing lacks uniform quality; work on basic layering and visual integration techniques.</t>
  </si>
  <si>
    <t>Visual effects appear disconnected from narrative structure; improve story-driven VFX planning.</t>
  </si>
  <si>
    <t>CGI integration is weak; focus on lighting, perspective and realism fundamentals.</t>
  </si>
  <si>
    <t>Tracking and stabilization require major improvement; practice basic motion correction tools.</t>
  </si>
  <si>
    <t>Editing and transitions are inconsistent; focus on continuity editing principles.</t>
  </si>
  <si>
    <t>Strong emphasis needed on learning episodic VFX pipeline, including compositing, color grading, and sequence management.</t>
  </si>
  <si>
    <t>Direction: Inadequate planning and workflow execution across production stages. Develop structured habits for each production phase — planning, execution, and review. Discipline at each stage is the difference between intent and outcome.</t>
  </si>
  <si>
    <t>Direction: Struggles to meet duration or deliverable standards, requiring significant improvement. Meet deliverable requirements as a professional baseline and seek support on an early stage if challenges arise</t>
  </si>
  <si>
    <t>Screenwriting: Treatment reflects overall story direction, though arcs and tonal consistency are uneven. Improve consistency in character development and scene tone to create a more cohesive treatment.</t>
  </si>
  <si>
    <t>Screenwriting: Episodic structure is identifiable, though individual episode arcs lack clarity or variation. Work on making each episode feel more distinct while still supporting the overall story arc.</t>
  </si>
  <si>
    <t>Screenwriting: Demonstrates basic understanding of premise, though the central idea lacks clarity and focus. Strengthen the premise so the narrative feels more cohesive and easy to follow.</t>
  </si>
  <si>
    <t>Screenwriting: Attempts short film scripting, but structure and progression are inconsistent. Develop stronger pacing and clearer narrative direction within the short film format.</t>
  </si>
  <si>
    <t>Screenwriting: Author study is descriptive, with minimal comparative or analytical insight. Develop more comparative analysis to better understand different storytelling techniques and creative decisions.</t>
  </si>
  <si>
    <t>Screenwriting: Limited understanding of authorial voice, with no clear influence on their own writing. Focus on recognising specific qualities in other writers’ work and experimenting with them in your own storytelling.</t>
  </si>
  <si>
    <t xml:space="preserve">Screenwriting: Synopsis shows limited expansion of the original idea, with weak narrative development. Refine the narrative by deepening the story world, character intentions, and overall dramatic tension.
</t>
  </si>
  <si>
    <t>Screenwriting: Treatment lacks sustained progression, with unclear arcs and tonal inconsistency. Work on strengthening character arcs and ensuring clearer emotional progression across the story.</t>
  </si>
  <si>
    <t>Screenwriting: Episodic writing shows minimal differentiation between episodes, with weak structural identity. Develop stronger variation between episodes to improve rhythm and audience engagement.</t>
  </si>
  <si>
    <t xml:space="preserve">Screenwriting: Show bible is incomplete, lacking clarity in concept, characters, and overall series direction. Refine the concept and series framework so the show bible feels more complete and cohesive.
</t>
  </si>
  <si>
    <t>Screenwriting: Short film script would benefit from clarity of premise, conflict, clearer structure and stronger narrative purpose to achieve a more effective resolution.</t>
  </si>
  <si>
    <t>Screenwriting: Author study needs deeper analytical engagement, with more meaningful comparison of themes, structure, and writing approaches across works.</t>
  </si>
  <si>
    <t>Screenwriting: Author study lacks analysis, with no meaningful comparison of works. Develop a more analytical approach by exploring the purpose and impact of specific creative choices.</t>
  </si>
  <si>
    <t xml:space="preserve">Screenwriting: would benefit from analysisng their own works to figure out their authorial voice and understand it's relevance to writing practice.
</t>
  </si>
  <si>
    <t xml:space="preserve">Screenwriting: Needs support to expand the initial idea into a coherent synopsis. </t>
  </si>
  <si>
    <t>Screenwriting: Episodic writing would benefit from clearer arcs, continuity, and stronger understanding of long-form narrative progression.</t>
  </si>
  <si>
    <t>Screenwriting: Episode writing needs structure, as arcs and continuity are not clear yet. Needs more learning to practice long format writing.</t>
  </si>
  <si>
    <t>Screenwriting: Show bible needs clearer articulation of concept, character dynamics, and overall series structure to strengthen the design of the project.</t>
  </si>
  <si>
    <t>Plans and executes the graduation project with strong clarity, translating pre-visualisation into effective on-set decisions.</t>
  </si>
  <si>
    <t>Develops detailed pre-production materials (shot division, floor plans, lighting plans) that guide efficient execution.</t>
  </si>
  <si>
    <t>Demonstrates a clear and consistent visual approach, maintaining continuity in lighting, composition and tone.</t>
  </si>
  <si>
    <t>Makes informed cinematographic choices that support narrative intent and enhance audience engagement.</t>
  </si>
  <si>
    <t>Analyzes cinematographers’ work with depth, connecting style, technique and storytelling impact.</t>
  </si>
  <si>
    <t>Applies research insights effectively into practical work, reflecting thoughtful integration of theory and execution.</t>
  </si>
  <si>
    <t>Curates a showreel that presents skills clearly, highlighting range, strengths and technical capability.</t>
  </si>
  <si>
    <t>Organizes and presents a professional portfolio that reflects readiness for industry expectations.</t>
  </si>
  <si>
    <t>Plans and executes the graduation project with clarity and can refine decision-making for greater consistency.</t>
  </si>
  <si>
    <t>Pre-production materials are structured and useful, with scope to enhance detail and precision.</t>
  </si>
  <si>
    <t>Maintains a consistent visual approach in most parts and can improve continuity across all scenes.</t>
  </si>
  <si>
    <t>Makes cinematographic choices with clear intent and can refine them to strengthen narrative impact.</t>
  </si>
  <si>
    <t>Analyzes cinematographers’ work with understanding and can deepen connections between technique and storytelling.</t>
  </si>
  <si>
    <t>Applies research into practice effectively, with scope to strengthen integration.</t>
  </si>
  <si>
    <t>Presents a showreel that communicates skills well and can refine selection for stronger impact.</t>
  </si>
  <si>
    <t>Organizes a portfolio with clarity and can enhance presentation to meet professional standards.</t>
  </si>
  <si>
    <t>Demonstrates a basic approach to planning and executing the graduation project and can improve through clearer preparation.</t>
  </si>
  <si>
    <t>Pre-production materials show initial structure and can be strengthened with more detail and clarity.</t>
  </si>
  <si>
    <t>Visual consistency is present in parts and can improve by maintaining continuity across the project.</t>
  </si>
  <si>
    <t>Cinematographic choices show intent and can be refined to better support the narrative.</t>
  </si>
  <si>
    <t>Analyzes cinematographers’ work at a fundamental level and can improve depth of understanding.</t>
  </si>
  <si>
    <t>Applies research with initial clarity and can strengthen the connection between theory and practice.</t>
  </si>
  <si>
    <t>Presents a showreel with relevant material and can improve by refining selection and structure.</t>
  </si>
  <si>
    <t>Portfolio organization is developing and can improve through clearer presentation and curation.</t>
  </si>
  <si>
    <t>Is developing an approach to planning and executing the graduation project and can improve through structured preparation.</t>
  </si>
  <si>
    <t>Pre-production materials require further development and can improve by focusing on fundamental planning elements.</t>
  </si>
  <si>
    <t>Visual consistency is limited and can be strengthened by maintaining continuity in lighting and composition.</t>
  </si>
  <si>
    <t>Cinematographic choices require clarity and can improve by aligning decisions with narrative intent.</t>
  </si>
  <si>
    <t>Understanding of cinematographers’ work is at an early stage and can improve through detailed study.</t>
  </si>
  <si>
    <t>Application of research requires development and can improve by connecting theory with practical decisions.</t>
  </si>
  <si>
    <t>Showreel requires refinement and can improve by selecting work that clearly represents strengths.</t>
  </si>
  <si>
    <t>Portfolio presentation is at an early stage and can be developed to meet basic professional expectations.</t>
  </si>
  <si>
    <t>Editing: Demonstrates strong industry readiness through disciplined workflow, collaboration, and narrative execution. Continue refining finishing precision and sound integration for greater polish.</t>
  </si>
  <si>
    <t>Editing: Pacing, performance shaping, and editorial confidence are handled effectively. Explore stronger promotional and trailer-thinking approaches within project development.</t>
  </si>
  <si>
    <t>Editing: Collaboration and problem-solving during production and post-production are highly reliable. Continue refining workflow versioning and delivery precision.</t>
  </si>
  <si>
    <t>Editing: Emotional progression and time shaping demonstrate mature editorial thinking. Further strengthen final finishing and technical detailing processes.</t>
  </si>
  <si>
    <t>Editing: Adaptability under pressure and workflow discipline are commendable throughout projects. Continue exploring deeper layers of narrative interpretation and meaning.</t>
  </si>
  <si>
    <t>Editing: Technical execution from ingest to delivery is highly reliable. Push creative experimentation further within structure and rhythm design.</t>
  </si>
  <si>
    <t>Editing: Timeline discipline, data handling, and project organisation are managed professionally. Continue refining rhythm variation and emotional pacing.</t>
  </si>
  <si>
    <t>Editing: Demonstrates balanced creative, technical, and collaborative skills across projects. Continue strengthening documentation depth and finishing consistency.</t>
  </si>
  <si>
    <t>Editing: Narrative understanding and editing capability are stable across projects. Improve workflow discipline in metadata handling, versioning, and delivery management.</t>
  </si>
  <si>
    <t>Editing: Creative rhythm and tension-building are effective in parts. Develop stronger consistency in problem-solving under production pressure.</t>
  </si>
  <si>
    <t>Editing: Technical workflow understanding is reliable. Push editorial experimentation further to move beyond safe structural choices.</t>
  </si>
  <si>
    <t>Editing: Collaboration and responsiveness to direction are positive. Improve consistency in applying feedback across revisions.</t>
  </si>
  <si>
    <t>Editing: Scene-level editing demonstrates good control. Focus on strengthening macro narrative progression and time design.</t>
  </si>
  <si>
    <t>Editing: Awareness of DIT and post-production workflows is visible. Improve organisation in exports, media handling, and finishing precision.</t>
  </si>
  <si>
    <t>Editing: Performance shaping and emotional intent are effective in sections. Continue refining timeline management and technical consistency.</t>
  </si>
  <si>
    <t>Editing: Demonstrates balanced understanding across editing, workflow, and collaboration. Strengthen professional discipline and consistency for more reliable execution.</t>
  </si>
  <si>
    <t>Editing: Basic editing capability and narrative understanding are visible. Focus on improving consistency in workflow, timelines, and project organisation.</t>
  </si>
  <si>
    <t>Editing: Some rhythm and emotional shaping choices are effective. Improve application of feedback to strengthen revision quality and progression.</t>
  </si>
  <si>
    <t>Editing: Technical competency is developing steadily. Spend more time refining exports, media handling, and workflow precision.</t>
  </si>
  <si>
    <t>Editing: Isolated creative ideas are present within projects. Focus on building stronger structural clarity and sustained progression across sequences.</t>
  </si>
  <si>
    <t>Editing: Attempts at integrating sound, graphics, and VFX are visible. Improve cohesion between technical elements and narrative intention.</t>
  </si>
  <si>
    <t>Editing: Collaboration and participation are there in parts. Develop greater initiative in responding to feedback and solving production challenges.</t>
  </si>
  <si>
    <t>Editing: Some project management effort is visible. Improve timeline discipline and workflow organisation for more reliable delivery.</t>
  </si>
  <si>
    <t>Editing: There is initial enthusiasm for participation in final-semester projects. Maintain that consistency across creative, technical, and professional practices throughout the production and post production period to support industry preparedness.</t>
  </si>
  <si>
    <t>Editing: Demonstrates effort toward completing projects and participating in workflow processes. Focus on strengthening narrative clarity and editorial decision-making.</t>
  </si>
  <si>
    <t>Editing: Intent to develop emotionand rhythm are visible. Work on techniques for pacing control and performance shaping to create stronger audience engagement.</t>
  </si>
  <si>
    <t>Editing: Student has basic DIT workflow understanding. Develop more reliable habits in backups, metadata management, and media organisation.</t>
  </si>
  <si>
    <t>Editing: Participation in workflow execution is visible. Focus on improving project management discipline and delivery consistency.</t>
  </si>
  <si>
    <t>Editing: Some creative intent can be identified within scenes. Develop stronger interpretative editing choices beyond literal assembly of footage.</t>
  </si>
  <si>
    <t>Editing: Collaborative participation is partially visible. Improve responsiveness to feedback and strengthen problem-solving approaches during post-production.</t>
  </si>
  <si>
    <t>Editing: Effort toward meeting deadlines is evident in parts. Develop stronger timeline management and professional reliability under pressure.</t>
  </si>
  <si>
    <t>Editing:Limited participation in final-semester projects affected the development of creative, technical, and professional competencies expected for industry readiness. Improve consistency in attendance, assignment engagement, collaboration, and workflow practice to strengthen overall preparedness for professional post-production environments.</t>
  </si>
  <si>
    <t>Sound Design: Basic capability in doing Sound Recording and Editing; needs to improve consistency and precision in Audio Mix and Mastering of a film</t>
  </si>
  <si>
    <t>Sound Design: Basic capability in doing Audio and Mastering; needs to improve consistency and precision in Sound Recording and Editing of a film</t>
  </si>
  <si>
    <t>Sound Design: Basic capability in making a pre-production planning of Sound Design for a project; develop more technical proficiency in all aspects of Sound Design</t>
  </si>
  <si>
    <t>Sound Design: Basic capability in making a pre-production planning of Sound Design for a project; develop more technical proficiency in Sound Recording and Post</t>
  </si>
  <si>
    <t>Sound Design: Average level performance in Production Sound Recording; requires considerable understanding of creativity in Sound Track laying and Design</t>
  </si>
  <si>
    <t>Sound Design: Application of ideas and thoughts in doing Sound Script, Treatment and other pre-production planning needs to significantly be better</t>
  </si>
  <si>
    <t>Production: Focus on stepping into a more ownership role to ensure the production flow remains resilient during final delivery windows.</t>
  </si>
  <si>
    <t>Production: Basic technical requirements are met, develope more proactive contingency strategies for the production flow to remains stable.</t>
  </si>
  <si>
    <t>Production: The production is functional, aim for the consistent control to handle the multifaceted demands of the project.</t>
  </si>
  <si>
    <t>Production: Successfully aligns the final outcome with basic semester objectives, though the execution often needs the clarity to fully realize the intended vision.</t>
  </si>
  <si>
    <t>Production: Managed the final production cycle to completion, further synchronize your middle-stage logistics with your final delivery goals</t>
  </si>
  <si>
    <t>Production: Core production tasks are present, maintain a reliable production flow detail expected at the conclusion of the course.</t>
  </si>
  <si>
    <t>Production: Shows a foundational grasp of final-year theory, work on recurring minor errors in execution for the overall professional output.</t>
  </si>
  <si>
    <t>Production: Maintain a functional presence on set; the next step is to more clearly work on taking ownership of the role &amp; project</t>
  </si>
  <si>
    <t>Production: Adopt a more rigorous practical discipline on set.</t>
  </si>
  <si>
    <t>Production: Maintains a steady work rate on set; focus now on tightening the connection between your production choices and the shot list.</t>
  </si>
  <si>
    <t>Production: Focus on developing executive-level control over your role in the crew.</t>
  </si>
  <si>
    <t>Production: Focus on mastering the professional coordination to provide the stable administrative base needed for a graduation project.</t>
  </si>
  <si>
    <t>Production: Incorporate precision logistics into your workflow using exact timestamps for technical setups rather than broad time blocks.</t>
  </si>
  <si>
    <t>Production: Focus on developing proactive set participation by anticipating technical needs before they arise.</t>
  </si>
  <si>
    <t>Exceptional integration of VFX that elevates the narrative impact of the grad film; maintain strong cinematic consistency across all sequences.</t>
  </si>
  <si>
    <t>Professional-grade compositing with seamless blending of CGI and live-action; continue refining subtle detail work in shadows, reflections, and lighting interaction.</t>
  </si>
  <si>
    <t>Outstanding visual storytelling where VFX enhances emotional and narrative depth; explore advanced cinematic grading and filmic texture workflows.</t>
  </si>
  <si>
    <t>High-level camera tracking and matchmoving accuracy; improve invisible VFX techniques for completely seamless shots.</t>
  </si>
  <si>
    <t>Strong use of environmental extensions and set enhancements; refine atmospheric depth, fog, and volumetric lighting control.</t>
  </si>
  <si>
    <t>Impressive post-production pipeline with industry-standard finishing; optimize render management for high-resolution final output.</t>
  </si>
  <si>
    <t>Advanced simulation and effects work (particles, fluids, destruction, etc.) executed with realism; continue exploring physically accurate simulations.</t>
  </si>
  <si>
    <t>Advanced simulation and effects capability, with realistic execution of particles, fluids, and destruction systems; requires further refinement in physically accurate simulation methodologies.</t>
  </si>
  <si>
    <t>Professional cinematic polish throughout the film; demonstrates strong readiness for industry-level VFX production workflows.</t>
  </si>
  <si>
    <t>Exhibits strong cinematic polish throughout the film, demonstrating readiness for professional industry VFX production pipelines and practices.</t>
  </si>
  <si>
    <t>Good overall VFX integration supporting the grad film narrative; improve consistency in lighting and shot continuity.</t>
  </si>
  <si>
    <t>Strong compositing efforts; refine edge blending, color matching, and realism in CGI integration.</t>
  </si>
  <si>
    <t>Visual effects enhance storytelling effectively; work on subtlety and reducing visible compositing in complex shots.</t>
  </si>
  <si>
    <t>Decent camera tracking and stabilization; improve accuracy in fast-motion or dynamic scenes.</t>
  </si>
  <si>
    <t>Good environmental enhancement work; further develop depth, atmospheric effects, and scene realism.</t>
  </si>
  <si>
    <t>Solid post-production workflow; improve render consistency and finishing polish across sequences.</t>
  </si>
  <si>
    <t>VFX execution is effective but occasionally uneven; focus on maintaining uniform quality across all scenes.</t>
  </si>
  <si>
    <t>Continued development needed in advanced compositing and cinematic finishing techniques.</t>
  </si>
  <si>
    <t>Basic VFX integration present but lacks cinematic consistency; focus on improving overall visual coherence.</t>
  </si>
  <si>
    <t>Compositing quality varies across shots; strengthen masking, layering, and color correction fundamentals.</t>
  </si>
  <si>
    <t>CGI elements are noticeable and not fully integrated; improve lighting, perspective matching, and realism.</t>
  </si>
  <si>
    <t>Tracking and stabilization require improvement; reduce jitter and misalignment in key sequences.</t>
  </si>
  <si>
    <t>Environmental effects are minimal or inconsistent; work on depth, shadows, and atmospheric integration.</t>
  </si>
  <si>
    <t>Rendering quality and finishing need refinement; focus on clean output and proper render settings.</t>
  </si>
  <si>
    <t>Visual effects support narrative in limited areas; improve planning and shot breakdown workflow.</t>
  </si>
  <si>
    <t>Strengthen core VFX pipeline skills including compositing, tracking, grading, and continuity management.</t>
  </si>
  <si>
    <t>VFX integration is weak and requires stronger foundational understanding of cinematic post-production.</t>
  </si>
  <si>
    <t>CGI elements appear disconnected from live-action footage; focus on basic compositing and scene matching.</t>
  </si>
  <si>
    <t>Tracking and camera integration are inconsistent; improve stabilization and motion alignment techniques.</t>
  </si>
  <si>
    <t>Lighting and color mismatch significantly affect realism; develop basic color grading and correction skills.</t>
  </si>
  <si>
    <t>Masking and layering techniques need improvement; practice clean and structured compositing workflows.</t>
  </si>
  <si>
    <t>Rendering quality is below required standard; focus on correct output settings and workflow discipline.</t>
  </si>
  <si>
    <t>Visual effects do not consistently support storytelling; improve planning and shot breakdown before execution.</t>
  </si>
  <si>
    <t>Strong emphasis needed on mastering core VFX fundamentals: compositing, tracking, lighting, and cinematic continuity.</t>
  </si>
  <si>
    <t>Sem_I_Direction_A</t>
  </si>
  <si>
    <t>Sem_I_Direction_B</t>
  </si>
  <si>
    <t>Sem_I_Direction_C</t>
  </si>
  <si>
    <t>Sem_I_Direction_D</t>
  </si>
  <si>
    <t>Sem_I_Screenwriting_A</t>
  </si>
  <si>
    <t>Sem_I_Screenwriting_B</t>
  </si>
  <si>
    <t>Sem_I_Screenwriting_C</t>
  </si>
  <si>
    <t>Sem_I_Screenwriting_D</t>
  </si>
  <si>
    <t>Sem_I_Cinematography_A</t>
  </si>
  <si>
    <t>Sem_I_Cinematography_B</t>
  </si>
  <si>
    <t>Sem_I_Cinematography_C</t>
  </si>
  <si>
    <t>Sem_I_Cinematography_D</t>
  </si>
  <si>
    <t>Sem_I_Editing_A</t>
  </si>
  <si>
    <t>Sem_I_Editing_B</t>
  </si>
  <si>
    <t>Sem_I_Editing_C</t>
  </si>
  <si>
    <t>Sem_I_Editing_D</t>
  </si>
  <si>
    <t>Sem_I_Sound_Design_A</t>
  </si>
  <si>
    <t>Sem_I_Sound_Design_B</t>
  </si>
  <si>
    <t>Sem_I_Sound_Design_C</t>
  </si>
  <si>
    <t>Sem_I_Sound_Design_D</t>
  </si>
  <si>
    <t>Sem_I_Production_A</t>
  </si>
  <si>
    <t>Sem_I_Production_B</t>
  </si>
  <si>
    <t>Sem_I_Production_C</t>
  </si>
  <si>
    <t>Sem_I_Production_D</t>
  </si>
  <si>
    <t>Sem_II_Direction_A</t>
  </si>
  <si>
    <t>Sem_II_Direction_B</t>
  </si>
  <si>
    <t>Sem_II_Direction_C</t>
  </si>
  <si>
    <t>Sem_II_Direction_D</t>
  </si>
  <si>
    <t>Sem_II_Screenwriting_A</t>
  </si>
  <si>
    <t>Sem_II_Screenwriting_B</t>
  </si>
  <si>
    <t>Sem_II_Screenwriting_C</t>
  </si>
  <si>
    <t>Sem_II_Screenwriting_D</t>
  </si>
  <si>
    <t>Sem_II_Cinematography_A</t>
  </si>
  <si>
    <t>Sem_II_Cinematography_B</t>
  </si>
  <si>
    <t>Sem_II_Cinematography_C</t>
  </si>
  <si>
    <t>Sem_II_Cinematography_D</t>
  </si>
  <si>
    <t>Sem_II_Editing_A</t>
  </si>
  <si>
    <t>Sem_II_Editing_B</t>
  </si>
  <si>
    <t>Sem_II_Editing_C</t>
  </si>
  <si>
    <t>Sem_II_Editing_D</t>
  </si>
  <si>
    <t>Sem_II_Sound_Design_A</t>
  </si>
  <si>
    <t>Sem_II_Sound_Design_B</t>
  </si>
  <si>
    <t>Sem_II_Sound_Design_C</t>
  </si>
  <si>
    <t>Sem_II_Sound_Design_D</t>
  </si>
  <si>
    <t>Sem_II_Production_A</t>
  </si>
  <si>
    <t>Sem_II_Production_B</t>
  </si>
  <si>
    <t>Sem_II_Production_C</t>
  </si>
  <si>
    <t>Sem_II_Production_D</t>
  </si>
  <si>
    <t>Sem_III_Direction_A</t>
  </si>
  <si>
    <t>Sem_III_Direction_B</t>
  </si>
  <si>
    <t>Sem_III_Direction_C</t>
  </si>
  <si>
    <t>Sem_III_Direction_D</t>
  </si>
  <si>
    <t>Sem_III_Screenwriting_A</t>
  </si>
  <si>
    <t>Sem_III_Screenwriting_B</t>
  </si>
  <si>
    <t>Sem_III_Screenwriting_C</t>
  </si>
  <si>
    <t>Sem_III_Screenwriting_D</t>
  </si>
  <si>
    <t>Sem_III_Cinematography_A</t>
  </si>
  <si>
    <t>Sem_III_Cinematography_B</t>
  </si>
  <si>
    <t>Sem_III_Cinematography_C</t>
  </si>
  <si>
    <t>Sem_III_Cinematography_D</t>
  </si>
  <si>
    <t>Sem_III_Editing_A</t>
  </si>
  <si>
    <t>Sem_III_Editing_B</t>
  </si>
  <si>
    <t>Sem_III_Editing_C</t>
  </si>
  <si>
    <t>Sem_III_Editing_D</t>
  </si>
  <si>
    <t>Sem_III_Sound_Design_A</t>
  </si>
  <si>
    <t>Sem_III_Sound_Design_B</t>
  </si>
  <si>
    <t>Sem_III_Sound_Design_C</t>
  </si>
  <si>
    <t>Sem_III_Sound_Design_D</t>
  </si>
  <si>
    <t>Sem_III_Production_A</t>
  </si>
  <si>
    <t>Sem_III_Production_B</t>
  </si>
  <si>
    <t>Sem_III_Production_C</t>
  </si>
  <si>
    <t>Sem_III_Production_D</t>
  </si>
  <si>
    <t>Sem_III_VFX_A</t>
  </si>
  <si>
    <t>Sem_III_VFX_B</t>
  </si>
  <si>
    <t>Sem_III_VFX_C</t>
  </si>
  <si>
    <t>Sem_III_VFX_D</t>
  </si>
  <si>
    <t>Sem_IV_Direction_D</t>
  </si>
  <si>
    <t>Sem_IV_Screenwriting_A</t>
  </si>
  <si>
    <t>Sem_IV_Screenwriting_B</t>
  </si>
  <si>
    <t>Sem_IV_Screenwriting_C</t>
  </si>
  <si>
    <t>Sem_IV_Screenwriting_D</t>
  </si>
  <si>
    <t>Sem_IV_Cinematography_A</t>
  </si>
  <si>
    <t>Sem_IV_Cinematography_B</t>
  </si>
  <si>
    <t>Sem_IV_Cinematography_C</t>
  </si>
  <si>
    <t>Sem_IV_Cinematography_D</t>
  </si>
  <si>
    <t>Sem_IV_Editing_A</t>
  </si>
  <si>
    <t>Sem_IV_Editing_B</t>
  </si>
  <si>
    <t>Sem_IV_Editing_C</t>
  </si>
  <si>
    <t>Sem_IV_Editing_D</t>
  </si>
  <si>
    <t>Sem_IV_Sound_Design_A</t>
  </si>
  <si>
    <t>Sem_IV_Sound_Design_B</t>
  </si>
  <si>
    <t>Sem_IV_Sound_Design_C</t>
  </si>
  <si>
    <t>Sem_IV_Sound_Design_D</t>
  </si>
  <si>
    <t>Sem_IV_Production_A</t>
  </si>
  <si>
    <t>Sem_IV_Production_B</t>
  </si>
  <si>
    <t>Sem_IV_Production_C</t>
  </si>
  <si>
    <t>Sem_IV_Production_D</t>
  </si>
  <si>
    <t>Sem_IV_VFX_A</t>
  </si>
  <si>
    <t>Sem_IV_VFX_B</t>
  </si>
  <si>
    <t>Sem_IV_VFX_C</t>
  </si>
  <si>
    <t>Sem_IV_VFX_D</t>
  </si>
  <si>
    <t>Sem_V_Direction_A</t>
  </si>
  <si>
    <t>Sem_V_Direction_B</t>
  </si>
  <si>
    <t>Sem_V_Direction_C</t>
  </si>
  <si>
    <t>Sem_V_Direction_D</t>
  </si>
  <si>
    <t>Sem_V_Screenwriting_A</t>
  </si>
  <si>
    <t>Sem_V_Screenwriting_B</t>
  </si>
  <si>
    <t>Sem_V_Screenwriting_C</t>
  </si>
  <si>
    <t>Sem_V_Screenwriting_D</t>
  </si>
  <si>
    <t>Sem_V_Cinematography_A</t>
  </si>
  <si>
    <t>Sem_V_Cinematography_B</t>
  </si>
  <si>
    <t>Sem_V_Cinematography_C</t>
  </si>
  <si>
    <t>Sem_V_Cinematography_D</t>
  </si>
  <si>
    <t>Sem_V_Editing_A</t>
  </si>
  <si>
    <t>Sem_V_Editing_B</t>
  </si>
  <si>
    <t>Sem_V_Editing_C</t>
  </si>
  <si>
    <t>Sem_V_Editing_D</t>
  </si>
  <si>
    <t>Sem_V_Sound_Design_A</t>
  </si>
  <si>
    <t>Sem_V_Sound_Design_B</t>
  </si>
  <si>
    <t>Sem_V_Sound_Design_C</t>
  </si>
  <si>
    <t>Sem_V_Sound_Design_D</t>
  </si>
  <si>
    <t>Sem_V_Production_A</t>
  </si>
  <si>
    <t>Sem_V_Production_B</t>
  </si>
  <si>
    <t>Sem_V_Production_C</t>
  </si>
  <si>
    <t>Sem_V_Production_D</t>
  </si>
  <si>
    <t>Sem_V_VFX_A</t>
  </si>
  <si>
    <t>Sem_V_VFX_B</t>
  </si>
  <si>
    <t>Sem_V_VFX_C</t>
  </si>
  <si>
    <t>Sem_V_VFX_D</t>
  </si>
  <si>
    <t>Sem_VI_Direction_D</t>
  </si>
  <si>
    <t>Sem_VI_Screenwriting_A</t>
  </si>
  <si>
    <t>Sem_VI_Screenwriting_B</t>
  </si>
  <si>
    <t>Sem_VI_Screenwriting_C</t>
  </si>
  <si>
    <t>Sem_VI_Screenwriting_D</t>
  </si>
  <si>
    <t>Sem_VI_Cinematography_A</t>
  </si>
  <si>
    <t>Sem_VI_Cinematography_B</t>
  </si>
  <si>
    <t>Sem_VI_Cinematography_C</t>
  </si>
  <si>
    <t>Sem_VI_Cinematography_D</t>
  </si>
  <si>
    <t>Sem_VI_Editing_A</t>
  </si>
  <si>
    <t>Sem_VI_Editing_B</t>
  </si>
  <si>
    <t>Sem_VI_Editing_C</t>
  </si>
  <si>
    <t>Sem_VI_Editing_D</t>
  </si>
  <si>
    <t>Sem_VI_Sound_Design_A</t>
  </si>
  <si>
    <t>Sem_VI_Sound_Design_B</t>
  </si>
  <si>
    <t>Sem_VI_Sound_Design_C</t>
  </si>
  <si>
    <t>Sem_VI_Sound_Design_D</t>
  </si>
  <si>
    <t>Sem_VI_Production_A</t>
  </si>
  <si>
    <t>Sem_VI_Production_B</t>
  </si>
  <si>
    <t>Sem_VI_Production_C</t>
  </si>
  <si>
    <t>Sem_VI_Production_D</t>
  </si>
  <si>
    <t>Sem_VI_VFX_A</t>
  </si>
  <si>
    <t>Sem_VI_VFX_B</t>
  </si>
  <si>
    <t>Sem_VI_VFX_C</t>
  </si>
  <si>
    <t>Sem_VI_VFX_D</t>
  </si>
  <si>
    <t>Specialisations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</si>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</sst>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ont>
    <font>
      <b/>
      <sz val="11"/>
      <color rgb="FF000000"/>
      <name val="Calibri"/>
    </font>
    <font>
      <b/>
      <sz val="11"/>
      <color rgb="FFFFFFFF"/>
      <name val="Calibri"/>
    </font>
    <font>
      <b/>
      <sz val="11"/>
      <name val="Calibri"/>
    </font>
    <font>
      <b/>
      <sz val="14"/>
      <name val="Calibri"/>
    </font>
    <font>
      <b/>
      <sz val="16"/>
      <color rgb="FFFFFFFF"/>
      <name val="Calibri"/>
    </font>
    <font>
      <sz val="11"/>
      <color theme="1"/>
      <name val="Calibri"/>
    </font>
  </fonts>
  <fills count="9">
    <fill>
      <patternFill patternType="none"/>
    </fill>
    <fill>
      <patternFill patternType="gray125"/>
    </fill>
    <fill>
      <patternFill patternType="solid">
        <fgColor rgb="FFD9EAF7"/>
      </patternFill>
    </fill>
    <fill>
      <patternFill patternType="solid">
        <fgColor rgb="FF2F75B5"/>
      </patternFill>
    </fill>
    <fill>
      <patternFill patternType="solid">
        <fgColor rgb="FFEAF3FF"/>
      </patternFill>
    </fill>
    <fill>
      <patternFill patternType="solid">
        <fgColor rgb="FFFFF2CC"/>
      </patternFill>
    </fill>
    <fill>
      <patternFill patternType="solid">
        <fgColor rgb="FFE2F0D9"/>
      </patternFill>
    </fill>
    <fill>
      <patternFill patternType="solid">
        <fgColor rgb="FF1F2937"/>
      </patternFill>
    </fill>
    <fill>
      <patternFill patternType="solid">
        <fgColor rgb="FF1F2937"/>
      </patternFill>
    </fill>
  </fills>
  <borders count="10">
    <border>
      <left/>
      <right/>
      <top/>
      <bottom/>
      <diagonal/>
    </border>
    <border>
      <left/>
      <right/>
      <top/>
      <bottom style="thin">
        <color rgb="FFD0D7DE"/>
      </bottom>
      <diagonal/>
    </border>
    <border>
      <left style="thin">
        <color indexed="64"/>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3"/>
  </cellStyleXfs>
  <cellXfs count="43">
    <xf numFmtId="0" fontId="0" fillId="0" borderId="0" xfId="0" applyBorder="1"/>
    <xf numFmtId="0" fontId="4" fillId="0" borderId="0" xfId="0" applyFont="1" applyBorder="1"/>
    <xf numFmtId="0" fontId="3" fillId="0" borderId="0" xfId="0" applyFont="1" applyBorder="1"/>
    <xf numFmtId="0" fontId="2" fillId="7" borderId="0" xfId="0" applyFont="1" applyFill="1" applyBorder="1" applyAlignment="1">
      <alignment horizontal="center"/>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0" fillId="5" borderId="1" xfId="0" applyFill="1" applyBorder="1" applyAlignment="1">
      <alignment horizontal="left" vertical="center" wrapText="1"/>
    </xf>
    <xf numFmtId="0" fontId="3" fillId="6" borderId="1" xfId="0" applyFont="1" applyFill="1" applyBorder="1" applyAlignment="1">
      <alignment horizontal="center" vertical="center" wrapText="1"/>
    </xf>
    <xf numFmtId="0" fontId="0" fillId="4" borderId="2" xfId="0" applyFill="1" applyBorder="1" applyAlignment="1">
      <alignment horizontal="left" vertical="center" wrapText="1"/>
    </xf>
    <xf numFmtId="0" fontId="0" fillId="6" borderId="2" xfId="0" applyFill="1" applyBorder="1" applyAlignment="1">
      <alignment horizontal="left" vertical="center" wrapText="1"/>
    </xf>
    <xf numFmtId="0" fontId="2" fillId="3" borderId="2" xfId="0" applyFont="1" applyFill="1" applyBorder="1" applyAlignment="1">
      <alignment horizontal="center" vertical="center" wrapText="1"/>
    </xf>
    <xf numFmtId="0" fontId="0" fillId="3" borderId="2" xfId="0" applyFill="1" applyBorder="1"/>
    <xf numFmtId="0" fontId="0" fillId="4" borderId="2" xfId="0" applyFill="1" applyBorder="1" applyAlignment="1">
      <alignment horizontal="center" vertical="center" wrapText="1"/>
    </xf>
    <xf numFmtId="0" fontId="0" fillId="0" borderId="2" xfId="0" applyBorder="1" applyAlignment="1">
      <alignment wrapText="1"/>
    </xf>
    <xf numFmtId="0" fontId="0" fillId="3" borderId="2" xfId="0" applyFill="1" applyBorder="1" applyAlignment="1">
      <alignment wrapText="1"/>
    </xf>
    <xf numFmtId="0" fontId="1" fillId="2" borderId="2" xfId="0" applyFont="1" applyFill="1" applyBorder="1" applyAlignment="1">
      <alignment horizontal="center" vertical="center" wrapText="1"/>
    </xf>
    <xf numFmtId="0" fontId="0" fillId="0" borderId="0" xfId="0" applyBorder="1" applyAlignment="1">
      <alignment wrapText="1"/>
    </xf>
    <xf numFmtId="0" fontId="0" fillId="0" borderId="0" xfId="0" applyBorder="1"/>
    <xf numFmtId="0" fontId="0" fillId="0" borderId="2" xfId="0" applyBorder="1"/>
    <xf numFmtId="0" fontId="0" fillId="5" borderId="2" xfId="0" applyFill="1" applyBorder="1" applyAlignment="1">
      <alignment horizontal="left" vertical="center" wrapText="1"/>
    </xf>
    <xf numFmtId="0" fontId="6" fillId="0" borderId="0" xfId="0" applyFont="1" applyBorder="1" applyAlignment="1">
      <alignment wrapText="1"/>
    </xf>
    <xf numFmtId="0" fontId="0" fillId="5" borderId="1" xfId="0" applyFill="1" applyBorder="1" applyAlignment="1">
      <alignment vertical="top" wrapText="1"/>
    </xf>
    <xf numFmtId="0" fontId="6" fillId="5" borderId="1" xfId="0" applyFont="1" applyFill="1" applyBorder="1" applyAlignment="1">
      <alignment vertical="top" wrapText="1"/>
    </xf>
    <xf numFmtId="0" fontId="0" fillId="0" borderId="8" xfId="0" applyBorder="1"/>
    <xf numFmtId="0" fontId="0" fillId="0" borderId="9" xfId="0" applyBorder="1"/>
    <xf numFmtId="0" fontId="2" fillId="8" borderId="0"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0" fillId="4" borderId="9" xfId="0" applyFill="1" applyBorder="1" applyAlignment="1">
      <alignment horizontal="left" vertical="center" wrapText="1"/>
    </xf>
    <xf numFmtId="0" fontId="0" fillId="4" borderId="4" xfId="0" applyFill="1" applyBorder="1" applyAlignment="1">
      <alignment vertical="center" wrapText="1"/>
    </xf>
    <xf numFmtId="0" fontId="0" fillId="0" borderId="3" xfId="0" applyAlignment="1">
      <alignment wrapText="1"/>
    </xf>
    <xf numFmtId="0" fontId="0" fillId="0" borderId="3" xfId="0"/>
    <xf numFmtId="0" fontId="2" fillId="3" borderId="3" xfId="0" applyFont="1" applyFill="1" applyAlignment="1">
      <alignment horizontal="center" vertical="center" wrapText="1"/>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0" fillId="5" borderId="4" xfId="0"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394563</xdr:colOff>
      <xdr:row>1</xdr:row>
      <xdr:rowOff>114300</xdr:rowOff>
    </xdr:from>
    <xdr:to>
      <xdr:col>6</xdr:col>
      <xdr:colOff>677384</xdr:colOff>
      <xdr:row>6</xdr:row>
      <xdr:rowOff>50769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61123" y="426720"/>
          <a:ext cx="1235321" cy="1033749"/>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204"/>
  <sheetViews>
    <sheetView tabSelected="1" topLeftCell="D1" workbookViewId="0">
      <selection activeCell="I7" sqref="I7"/>
    </sheetView>
  </sheetViews>
  <sheetFormatPr defaultRowHeight="14.4" x14ac:dyDescent="0.3"/>
  <cols>
    <col min="1" max="1" width="22.44140625" style="17" customWidth="1"/>
    <col min="2" max="2" width="20.6640625" style="17" customWidth="1"/>
    <col min="3" max="3" width="22.88671875" style="17" customWidth="1"/>
    <col min="4" max="4" width="21.5546875" style="17" customWidth="1"/>
    <col min="5" max="5" width="24.6640625" style="17" customWidth="1"/>
    <col min="6" max="6" width="17.77734375" style="17" customWidth="1"/>
    <col min="7" max="7" width="20.88671875" style="17" customWidth="1"/>
    <col min="8" max="8" width="19.21875" style="17" customWidth="1"/>
    <col min="9" max="9" width="45" style="17" customWidth="1"/>
    <col min="10" max="10" width="13.88671875" style="17" customWidth="1"/>
    <col min="11" max="11" width="17" style="17" customWidth="1"/>
    <col min="12" max="12" width="15.44140625" style="17" customWidth="1"/>
    <col min="13" max="13" width="18.5546875" style="17" customWidth="1"/>
    <col min="14" max="14" width="13.44140625" style="17" customWidth="1"/>
    <col min="15" max="15" width="16.5546875" style="17" customWidth="1"/>
    <col min="16" max="16" width="22.109375" style="17" customWidth="1"/>
    <col min="17" max="17" width="25.21875" style="17" customWidth="1"/>
    <col min="18" max="18" width="18.33203125" style="17" customWidth="1"/>
    <col min="19" max="19" width="21.44140625" style="17" customWidth="1"/>
    <col min="20" max="20" width="19.77734375" style="17" customWidth="1"/>
    <col min="21" max="21" width="45" style="17" customWidth="1"/>
    <col min="22" max="22" width="14.44140625" style="17" customWidth="1"/>
    <col min="23" max="23" width="17.44140625" style="17" customWidth="1"/>
    <col min="24" max="24" width="16" style="17" customWidth="1"/>
    <col min="25" max="25" width="19.109375" style="17" customWidth="1"/>
    <col min="26" max="26" width="14" style="17" customWidth="1"/>
    <col min="27" max="27" width="17.109375" style="17" customWidth="1"/>
    <col min="28" max="28" width="22.5546875" style="17" customWidth="1"/>
    <col min="29" max="29" width="25.6640625" style="17" customWidth="1"/>
    <col min="30" max="30" width="18.88671875" style="17" customWidth="1"/>
    <col min="31" max="31" width="21.88671875" style="17" customWidth="1"/>
    <col min="32" max="32" width="20.33203125" style="17" customWidth="1"/>
    <col min="33" max="33" width="45" style="17" customWidth="1"/>
    <col min="34" max="34" width="22.77734375" style="17" customWidth="1"/>
    <col min="35" max="35" width="25.88671875" style="17" customWidth="1"/>
    <col min="36" max="36" width="19" style="17" customWidth="1"/>
    <col min="37" max="37" width="22.109375" style="17" customWidth="1"/>
    <col min="38" max="38" width="20.44140625" style="17" customWidth="1"/>
    <col min="39" max="39" width="45" style="17" customWidth="1"/>
    <col min="40" max="40" width="22.21875" style="17" customWidth="1"/>
    <col min="41" max="41" width="25.33203125" style="17" customWidth="1"/>
    <col min="42" max="42" width="18.44140625" style="17" customWidth="1"/>
    <col min="43" max="43" width="21.5546875" style="17" customWidth="1"/>
    <col min="44" max="44" width="19.88671875" style="17" customWidth="1"/>
    <col min="45" max="45" width="45" style="17" customWidth="1"/>
    <col min="46" max="46" width="22.77734375" style="17" customWidth="1"/>
    <col min="47" max="47" width="25.88671875" style="17" customWidth="1"/>
    <col min="48" max="48" width="19" style="17" customWidth="1"/>
    <col min="49" max="49" width="22.109375" style="17" customWidth="1"/>
    <col min="50" max="50" width="20.44140625" style="17" customWidth="1"/>
    <col min="51" max="51" width="45" style="17" customWidth="1"/>
    <col min="52" max="52" width="15.21875" style="17" customWidth="1"/>
    <col min="53" max="53" width="15.88671875" style="17" customWidth="1"/>
    <col min="54" max="54" width="18.44140625" style="17" customWidth="1"/>
    <col min="55" max="55" width="5.77734375" style="17" customWidth="1"/>
    <col min="56" max="56" width="9.33203125" style="17" customWidth="1"/>
    <col min="57" max="57" width="10.6640625" style="17" customWidth="1"/>
    <col min="59" max="82" width="13" style="17" hidden="1" customWidth="1"/>
  </cols>
  <sheetData>
    <row r="1" spans="1:82" x14ac:dyDescent="0.3">
      <c r="A1" s="32" t="s">
        <v>0</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row>
    <row r="2" spans="1:82" x14ac:dyDescent="0.3">
      <c r="A2" s="30" t="s">
        <v>1</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row>
    <row r="3" spans="1:82" ht="28.8" customHeight="1" x14ac:dyDescent="0.3">
      <c r="A3" s="25" t="s">
        <v>2</v>
      </c>
      <c r="B3" s="25" t="s">
        <v>3</v>
      </c>
      <c r="C3" s="25" t="s">
        <v>4</v>
      </c>
      <c r="D3" s="25" t="s">
        <v>5</v>
      </c>
      <c r="E3" s="25" t="s">
        <v>6</v>
      </c>
      <c r="F3" s="25" t="s">
        <v>7</v>
      </c>
      <c r="G3" s="25" t="s">
        <v>8</v>
      </c>
      <c r="H3" s="25" t="s">
        <v>9</v>
      </c>
      <c r="I3" s="25" t="s">
        <v>10</v>
      </c>
      <c r="J3" s="25" t="s">
        <v>11</v>
      </c>
      <c r="K3" s="25" t="s">
        <v>12</v>
      </c>
      <c r="L3" s="25" t="s">
        <v>13</v>
      </c>
      <c r="M3" s="25" t="s">
        <v>14</v>
      </c>
      <c r="N3" s="25" t="s">
        <v>15</v>
      </c>
      <c r="O3" s="25" t="s">
        <v>16</v>
      </c>
      <c r="P3" s="25" t="s">
        <v>17</v>
      </c>
      <c r="Q3" s="25" t="s">
        <v>18</v>
      </c>
      <c r="R3" s="25" t="s">
        <v>19</v>
      </c>
      <c r="S3" s="25" t="s">
        <v>20</v>
      </c>
      <c r="T3" s="25" t="s">
        <v>21</v>
      </c>
      <c r="U3" s="25" t="s">
        <v>22</v>
      </c>
      <c r="V3" s="25" t="s">
        <v>23</v>
      </c>
      <c r="W3" s="25" t="s">
        <v>24</v>
      </c>
      <c r="X3" s="25" t="s">
        <v>25</v>
      </c>
      <c r="Y3" s="25" t="s">
        <v>26</v>
      </c>
      <c r="Z3" s="25" t="s">
        <v>27</v>
      </c>
      <c r="AA3" s="25" t="s">
        <v>28</v>
      </c>
      <c r="AB3" s="25" t="s">
        <v>29</v>
      </c>
      <c r="AC3" s="25" t="s">
        <v>30</v>
      </c>
      <c r="AD3" s="25" t="s">
        <v>31</v>
      </c>
      <c r="AE3" s="25" t="s">
        <v>32</v>
      </c>
      <c r="AF3" s="25" t="s">
        <v>33</v>
      </c>
      <c r="AG3" s="25" t="s">
        <v>34</v>
      </c>
      <c r="AH3" s="25" t="s">
        <v>35</v>
      </c>
      <c r="AI3" s="25" t="s">
        <v>36</v>
      </c>
      <c r="AJ3" s="25" t="s">
        <v>37</v>
      </c>
      <c r="AK3" s="25" t="s">
        <v>38</v>
      </c>
      <c r="AL3" s="25" t="s">
        <v>39</v>
      </c>
      <c r="AM3" s="25" t="s">
        <v>40</v>
      </c>
      <c r="AN3" s="25" t="s">
        <v>41</v>
      </c>
      <c r="AO3" s="25" t="s">
        <v>42</v>
      </c>
      <c r="AP3" s="25" t="s">
        <v>43</v>
      </c>
      <c r="AQ3" s="25" t="s">
        <v>44</v>
      </c>
      <c r="AR3" s="25" t="s">
        <v>45</v>
      </c>
      <c r="AS3" s="25" t="s">
        <v>46</v>
      </c>
      <c r="AT3" s="25" t="s">
        <v>47</v>
      </c>
      <c r="AU3" s="25" t="s">
        <v>48</v>
      </c>
      <c r="AV3" s="25" t="s">
        <v>49</v>
      </c>
      <c r="AW3" s="25" t="s">
        <v>50</v>
      </c>
      <c r="AX3" s="25" t="s">
        <v>51</v>
      </c>
      <c r="AY3" s="25" t="s">
        <v>52</v>
      </c>
      <c r="AZ3" s="25" t="s">
        <v>53</v>
      </c>
      <c r="BA3" s="25" t="s">
        <v>54</v>
      </c>
      <c r="BB3" s="25" t="s">
        <v>55</v>
      </c>
      <c r="BC3" s="25" t="s">
        <v>56</v>
      </c>
      <c r="BD3" s="25" t="s">
        <v>57</v>
      </c>
      <c r="BE3" s="25" t="s">
        <v>58</v>
      </c>
    </row>
    <row r="4" spans="1:82" ht="172.8" customHeight="1" x14ac:dyDescent="0.3">
      <c r="A4" s="4" t="s">
        <v>59</v>
      </c>
      <c r="B4" s="4">
        <v>1</v>
      </c>
      <c r="C4" s="4" t="s">
        <v>60</v>
      </c>
      <c r="D4" s="5" t="s">
        <v>61</v>
      </c>
      <c r="E4" s="6" t="s">
        <v>62</v>
      </c>
      <c r="F4" s="5" t="s">
        <v>61</v>
      </c>
      <c r="G4" s="6" t="s">
        <v>63</v>
      </c>
      <c r="H4" s="5" t="s">
        <v>64</v>
      </c>
      <c r="I4" s="21" t="s">
        <v>974</v>
      </c>
      <c r="J4" s="5" t="s">
        <v>61</v>
      </c>
      <c r="K4" s="6" t="s">
        <v>66</v>
      </c>
      <c r="L4" s="5" t="s">
        <v>67</v>
      </c>
      <c r="M4" s="6" t="s">
        <v>68</v>
      </c>
      <c r="N4" s="5" t="s">
        <v>61</v>
      </c>
      <c r="O4" s="6" t="s">
        <v>69</v>
      </c>
      <c r="P4" s="5" t="s">
        <v>61</v>
      </c>
      <c r="Q4" s="6" t="s">
        <v>70</v>
      </c>
      <c r="R4" s="5" t="s">
        <v>67</v>
      </c>
      <c r="S4" s="6" t="s">
        <v>71</v>
      </c>
      <c r="T4" s="5" t="s">
        <v>67</v>
      </c>
      <c r="U4" s="21" t="s">
        <v>72</v>
      </c>
      <c r="V4" s="5" t="s">
        <v>73</v>
      </c>
      <c r="W4" s="6" t="s">
        <v>74</v>
      </c>
      <c r="X4" s="5" t="s">
        <v>61</v>
      </c>
      <c r="Y4" s="6" t="s">
        <v>75</v>
      </c>
      <c r="Z4" s="5" t="s">
        <v>61</v>
      </c>
      <c r="AA4" s="6" t="s">
        <v>76</v>
      </c>
      <c r="AB4" s="5" t="s">
        <v>64</v>
      </c>
      <c r="AC4" s="6" t="s">
        <v>77</v>
      </c>
      <c r="AD4" s="5" t="s">
        <v>64</v>
      </c>
      <c r="AE4" s="6" t="s">
        <v>78</v>
      </c>
      <c r="AF4" s="5" t="s">
        <v>73</v>
      </c>
      <c r="AG4" s="21" t="s">
        <v>79</v>
      </c>
      <c r="AH4" s="5" t="s">
        <v>67</v>
      </c>
      <c r="AI4" s="6" t="s">
        <v>80</v>
      </c>
      <c r="AJ4" s="5" t="s">
        <v>64</v>
      </c>
      <c r="AK4" s="6" t="s">
        <v>81</v>
      </c>
      <c r="AL4" s="5" t="s">
        <v>73</v>
      </c>
      <c r="AM4" s="21" t="s">
        <v>82</v>
      </c>
      <c r="AN4" s="5" t="s">
        <v>61</v>
      </c>
      <c r="AO4" s="6" t="s">
        <v>83</v>
      </c>
      <c r="AP4" s="5" t="s">
        <v>64</v>
      </c>
      <c r="AQ4" s="6" t="s">
        <v>84</v>
      </c>
      <c r="AR4" s="5" t="s">
        <v>67</v>
      </c>
      <c r="AS4" s="21" t="s">
        <v>85</v>
      </c>
      <c r="AT4" s="5" t="s">
        <v>67</v>
      </c>
      <c r="AU4" s="6" t="s">
        <v>86</v>
      </c>
      <c r="AV4" s="5" t="s">
        <v>61</v>
      </c>
      <c r="AW4" s="6" t="s">
        <v>87</v>
      </c>
      <c r="AX4" s="5" t="s">
        <v>61</v>
      </c>
      <c r="AY4" s="21" t="s">
        <v>88</v>
      </c>
      <c r="AZ4" s="6" t="s">
        <v>89</v>
      </c>
      <c r="BA4" s="6" t="s">
        <v>90</v>
      </c>
      <c r="BB4" s="6" t="s">
        <v>91</v>
      </c>
      <c r="BC4" s="7">
        <f t="shared" ref="BC4:BC35" si="0">IFERROR((COUNTIF(D4:AX4,"A")*4+COUNTIF(D4:AX4,"B")*3+COUNTIF(D4:AX4,"C")*2+COUNTIF(D4:AX4,"D")*1)/(COUNTIF(D4:AX4,"A")+COUNTIF(D4:AX4,"B")+COUNTIF(D4:AX4,"C")+COUNTIF(D4:AX4,"D"))*25,"")</f>
        <v>57.291666666666664</v>
      </c>
      <c r="BD4" s="7" t="str">
        <f t="shared" ref="BD4:BD35" si="1">IF(BC4="","",IF(BC4&gt;=85,"A",IF(BC4&gt;=70,"B",IF(BC4&gt;=50,"C","D"))))</f>
        <v>C</v>
      </c>
      <c r="BE4" s="4"/>
      <c r="BF4" s="16"/>
      <c r="BG4" s="16">
        <f t="shared" ref="BG4:BG67" si="2">IF(D4="","",IF(D4="A",90,IF(D4="B",75,IF(D4="C",60,45))))</f>
        <v>60</v>
      </c>
      <c r="BH4" s="16">
        <f t="shared" ref="BH4:BH67" si="3">IF(F4="","",IF(F4="A",90,IF(F4="B",75,IF(F4="C",60,45))))</f>
        <v>60</v>
      </c>
      <c r="BI4" s="16">
        <f t="shared" ref="BI4:BI67" si="4">IF(H4="","",IF(H4="A",90,IF(H4="B",75,IF(H4="C",60,45))))</f>
        <v>90</v>
      </c>
      <c r="BJ4" s="16">
        <f t="shared" ref="BJ4:BJ67" si="5">IF(J4="","",IF(J4="A",90,IF(J4="B",75,IF(J4="C",60,45))))</f>
        <v>60</v>
      </c>
      <c r="BK4">
        <f t="shared" ref="BK4:BK67" si="6">IF(L4="","",IF(L4="A",90,IF(L4="B",75,IF(L4="C",60,45))))</f>
        <v>45</v>
      </c>
      <c r="BL4">
        <f t="shared" ref="BL4:BL67" si="7">IF(N4="","",IF(N4="A",90,IF(N4="B",75,IF(N4="C",60,45))))</f>
        <v>60</v>
      </c>
      <c r="BM4">
        <f t="shared" ref="BM4:BM67" si="8">IF(P4="","",IF(P4="A",90,IF(P4="B",75,IF(P4="C",60,45))))</f>
        <v>60</v>
      </c>
      <c r="BN4">
        <f t="shared" ref="BN4:BN67" si="9">IF(R4="","",IF(R4="A",90,IF(R4="B",75,IF(R4="C",60,45))))</f>
        <v>45</v>
      </c>
      <c r="BO4">
        <f t="shared" ref="BO4:BO67" si="10">IF(T4="","",IF(T4="A",90,IF(T4="B",75,IF(T4="C",60,45))))</f>
        <v>45</v>
      </c>
      <c r="BP4">
        <f t="shared" ref="BP4:BP67" si="11">IF(V4="","",IF(V4="A",90,IF(V4="B",75,IF(V4="C",60,45))))</f>
        <v>75</v>
      </c>
      <c r="BQ4">
        <f t="shared" ref="BQ4:BQ67" si="12">IF(X4="","",IF(X4="A",90,IF(X4="B",75,IF(X4="C",60,45))))</f>
        <v>60</v>
      </c>
      <c r="BR4">
        <f t="shared" ref="BR4:BR67" si="13">IF(Z4="","",IF(Z4="A",90,IF(Z4="B",75,IF(Z4="C",60,45))))</f>
        <v>60</v>
      </c>
      <c r="BS4">
        <f t="shared" ref="BS4:BS67" si="14">IF(AB4="","",IF(AB4="A",90,IF(AB4="B",75,IF(AB4="C",60,45))))</f>
        <v>90</v>
      </c>
      <c r="BT4">
        <f t="shared" ref="BT4:BT67" si="15">IF(AD4="","",IF(AD4="A",90,IF(AD4="B",75,IF(AD4="C",60,45))))</f>
        <v>90</v>
      </c>
      <c r="BU4">
        <f t="shared" ref="BU4:BU67" si="16">IF(AF4="","",IF(AF4="A",90,IF(AF4="B",75,IF(AF4="C",60,45))))</f>
        <v>75</v>
      </c>
      <c r="BV4">
        <f t="shared" ref="BV4:BV67" si="17">IF(AH4="","",IF(AH4="A",90,IF(AH4="B",75,IF(AH4="C",60,45))))</f>
        <v>45</v>
      </c>
      <c r="BW4">
        <f t="shared" ref="BW4:BW67" si="18">IF(AJ4="","",IF(AJ4="A",90,IF(AJ4="B",75,IF(AJ4="C",60,45))))</f>
        <v>90</v>
      </c>
      <c r="BX4">
        <f t="shared" ref="BX4:BX67" si="19">IF(AL4="","",IF(AL4="A",90,IF(AL4="B",75,IF(AL4="C",60,45))))</f>
        <v>75</v>
      </c>
      <c r="BY4">
        <f t="shared" ref="BY4:BY67" si="20">IF(AN4="","",IF(AN4="A",90,IF(AN4="B",75,IF(AN4="C",60,45))))</f>
        <v>60</v>
      </c>
      <c r="BZ4">
        <f t="shared" ref="BZ4:BZ67" si="21">IF(AP4="","",IF(AP4="A",90,IF(AP4="B",75,IF(AP4="C",60,45))))</f>
        <v>90</v>
      </c>
      <c r="CA4">
        <f t="shared" ref="CA4:CA67" si="22">IF(AR4="","",IF(AR4="A",90,IF(AR4="B",75,IF(AR4="C",60,45))))</f>
        <v>45</v>
      </c>
      <c r="CB4">
        <f t="shared" ref="CB4:CB67" si="23">IF(AT4="","",IF(AT4="A",90,IF(AT4="B",75,IF(AT4="C",60,45))))</f>
        <v>45</v>
      </c>
      <c r="CC4">
        <f t="shared" ref="CC4:CC67" si="24">IF(AV4="","",IF(AV4="A",90,IF(AV4="B",75,IF(AV4="C",60,45))))</f>
        <v>60</v>
      </c>
      <c r="CD4">
        <f t="shared" ref="CD4:CD67" si="25">IF(AX4="","",IF(AX4="A",90,IF(AX4="B",75,IF(AX4="C",60,45))))</f>
        <v>60</v>
      </c>
    </row>
    <row r="5" spans="1:82" ht="57.6" customHeight="1" x14ac:dyDescent="0.3">
      <c r="A5" s="4" t="s">
        <v>92</v>
      </c>
      <c r="B5" s="4">
        <v>2</v>
      </c>
      <c r="C5" s="4"/>
      <c r="D5" s="5"/>
      <c r="E5" s="6"/>
      <c r="F5" s="5"/>
      <c r="G5" s="6"/>
      <c r="H5" s="5" t="s">
        <v>67</v>
      </c>
      <c r="I5" s="21" t="s">
        <v>992</v>
      </c>
      <c r="J5" s="5"/>
      <c r="K5" s="6"/>
      <c r="L5" s="5"/>
      <c r="M5" s="6"/>
      <c r="N5" s="5"/>
      <c r="O5" s="6"/>
      <c r="P5" s="5"/>
      <c r="Q5" s="6"/>
      <c r="R5" s="5"/>
      <c r="S5" s="6"/>
      <c r="T5" s="5" t="s">
        <v>67</v>
      </c>
      <c r="U5" s="22" t="s">
        <v>93</v>
      </c>
      <c r="V5" s="5"/>
      <c r="W5" s="6"/>
      <c r="X5" s="5"/>
      <c r="Y5" s="6"/>
      <c r="Z5" s="5"/>
      <c r="AA5" s="6"/>
      <c r="AB5" s="5"/>
      <c r="AC5" s="6"/>
      <c r="AD5" s="5"/>
      <c r="AE5" s="6"/>
      <c r="AF5" s="5"/>
      <c r="AG5" s="21"/>
      <c r="AH5" s="5"/>
      <c r="AI5" s="6"/>
      <c r="AJ5" s="5"/>
      <c r="AK5" s="6"/>
      <c r="AL5" s="5"/>
      <c r="AM5" s="21"/>
      <c r="AN5" s="5"/>
      <c r="AO5" s="6"/>
      <c r="AP5" s="5"/>
      <c r="AQ5" s="6"/>
      <c r="AR5" s="5"/>
      <c r="AS5" s="21"/>
      <c r="AT5" s="5"/>
      <c r="AU5" s="6"/>
      <c r="AV5" s="5"/>
      <c r="AW5" s="6"/>
      <c r="AX5" s="5"/>
      <c r="AY5" s="21"/>
      <c r="AZ5" s="6"/>
      <c r="BA5" s="6"/>
      <c r="BB5" s="6"/>
      <c r="BC5" s="7">
        <f t="shared" si="0"/>
        <v>25</v>
      </c>
      <c r="BD5" s="7" t="str">
        <f t="shared" si="1"/>
        <v>D</v>
      </c>
      <c r="BE5" s="4"/>
      <c r="BF5" s="16"/>
      <c r="BG5" s="16" t="str">
        <f t="shared" si="2"/>
        <v/>
      </c>
      <c r="BH5" s="16" t="str">
        <f t="shared" si="3"/>
        <v/>
      </c>
      <c r="BI5" s="16">
        <f t="shared" si="4"/>
        <v>45</v>
      </c>
      <c r="BJ5" s="16" t="str">
        <f t="shared" si="5"/>
        <v/>
      </c>
      <c r="BK5" t="str">
        <f t="shared" si="6"/>
        <v/>
      </c>
      <c r="BL5" t="str">
        <f t="shared" si="7"/>
        <v/>
      </c>
      <c r="BM5" t="str">
        <f t="shared" si="8"/>
        <v/>
      </c>
      <c r="BN5" t="str">
        <f t="shared" si="9"/>
        <v/>
      </c>
      <c r="BO5">
        <f t="shared" si="10"/>
        <v>45</v>
      </c>
      <c r="BP5" t="str">
        <f t="shared" si="11"/>
        <v/>
      </c>
      <c r="BQ5" t="str">
        <f t="shared" si="12"/>
        <v/>
      </c>
      <c r="BR5" t="str">
        <f t="shared" si="13"/>
        <v/>
      </c>
      <c r="BS5" t="str">
        <f t="shared" si="14"/>
        <v/>
      </c>
      <c r="BT5" t="str">
        <f t="shared" si="15"/>
        <v/>
      </c>
      <c r="BU5" t="str">
        <f t="shared" si="16"/>
        <v/>
      </c>
      <c r="BV5" t="str">
        <f t="shared" si="17"/>
        <v/>
      </c>
      <c r="BW5" t="str">
        <f t="shared" si="18"/>
        <v/>
      </c>
      <c r="BX5" t="str">
        <f t="shared" si="19"/>
        <v/>
      </c>
      <c r="BY5" t="str">
        <f t="shared" si="20"/>
        <v/>
      </c>
      <c r="BZ5" t="str">
        <f t="shared" si="21"/>
        <v/>
      </c>
      <c r="CA5" t="str">
        <f t="shared" si="22"/>
        <v/>
      </c>
      <c r="CB5" t="str">
        <f t="shared" si="23"/>
        <v/>
      </c>
      <c r="CC5" t="str">
        <f t="shared" si="24"/>
        <v/>
      </c>
      <c r="CD5" t="str">
        <f t="shared" si="25"/>
        <v/>
      </c>
    </row>
    <row r="6" spans="1:82" ht="33.6" customHeight="1" x14ac:dyDescent="0.3">
      <c r="A6" s="4" t="s">
        <v>94</v>
      </c>
      <c r="B6" s="4">
        <v>3</v>
      </c>
      <c r="C6" s="4"/>
      <c r="D6" s="5"/>
      <c r="E6" s="6"/>
      <c r="F6" s="5"/>
      <c r="G6" s="6"/>
      <c r="H6" s="5"/>
      <c r="I6" s="21"/>
      <c r="J6" s="5"/>
      <c r="K6" s="6"/>
      <c r="L6" s="5"/>
      <c r="M6" s="6"/>
      <c r="N6" s="5"/>
      <c r="O6" s="6"/>
      <c r="P6" s="5"/>
      <c r="Q6" s="6"/>
      <c r="R6" s="5"/>
      <c r="S6" s="6"/>
      <c r="T6" s="5"/>
      <c r="U6" s="21"/>
      <c r="V6" s="5"/>
      <c r="W6" s="6"/>
      <c r="X6" s="5"/>
      <c r="Y6" s="6"/>
      <c r="Z6" s="5"/>
      <c r="AA6" s="6"/>
      <c r="AB6" s="5"/>
      <c r="AC6" s="6"/>
      <c r="AD6" s="5"/>
      <c r="AE6" s="6"/>
      <c r="AF6" s="5"/>
      <c r="AG6" s="21"/>
      <c r="AH6" s="5"/>
      <c r="AI6" s="6"/>
      <c r="AJ6" s="5"/>
      <c r="AK6" s="6"/>
      <c r="AL6" s="5"/>
      <c r="AM6" s="21"/>
      <c r="AN6" s="5"/>
      <c r="AO6" s="6"/>
      <c r="AP6" s="5"/>
      <c r="AQ6" s="6"/>
      <c r="AR6" s="5"/>
      <c r="AS6" s="21"/>
      <c r="AT6" s="5"/>
      <c r="AU6" s="6"/>
      <c r="AV6" s="5"/>
      <c r="AW6" s="6"/>
      <c r="AX6" s="5"/>
      <c r="AY6" s="21"/>
      <c r="AZ6" s="6"/>
      <c r="BA6" s="6"/>
      <c r="BB6" s="6"/>
      <c r="BC6" s="7" t="str">
        <f t="shared" si="0"/>
        <v/>
      </c>
      <c r="BD6" s="7" t="str">
        <f t="shared" si="1"/>
        <v/>
      </c>
      <c r="BE6" s="4"/>
      <c r="BF6" s="16"/>
      <c r="BG6" s="16" t="str">
        <f t="shared" si="2"/>
        <v/>
      </c>
      <c r="BH6" s="16" t="str">
        <f t="shared" si="3"/>
        <v/>
      </c>
      <c r="BI6" s="16" t="str">
        <f t="shared" si="4"/>
        <v/>
      </c>
      <c r="BJ6" s="16" t="str">
        <f t="shared" si="5"/>
        <v/>
      </c>
      <c r="BK6" t="str">
        <f t="shared" si="6"/>
        <v/>
      </c>
      <c r="BL6" t="str">
        <f t="shared" si="7"/>
        <v/>
      </c>
      <c r="BM6" t="str">
        <f t="shared" si="8"/>
        <v/>
      </c>
      <c r="BN6" t="str">
        <f t="shared" si="9"/>
        <v/>
      </c>
      <c r="BO6" t="str">
        <f t="shared" si="10"/>
        <v/>
      </c>
      <c r="BP6" t="str">
        <f t="shared" si="11"/>
        <v/>
      </c>
      <c r="BQ6" t="str">
        <f t="shared" si="12"/>
        <v/>
      </c>
      <c r="BR6" t="str">
        <f t="shared" si="13"/>
        <v/>
      </c>
      <c r="BS6" t="str">
        <f t="shared" si="14"/>
        <v/>
      </c>
      <c r="BT6" t="str">
        <f t="shared" si="15"/>
        <v/>
      </c>
      <c r="BU6" t="str">
        <f t="shared" si="16"/>
        <v/>
      </c>
      <c r="BV6" t="str">
        <f t="shared" si="17"/>
        <v/>
      </c>
      <c r="BW6" t="str">
        <f t="shared" si="18"/>
        <v/>
      </c>
      <c r="BX6" t="str">
        <f t="shared" si="19"/>
        <v/>
      </c>
      <c r="BY6" t="str">
        <f t="shared" si="20"/>
        <v/>
      </c>
      <c r="BZ6" t="str">
        <f t="shared" si="21"/>
        <v/>
      </c>
      <c r="CA6" t="str">
        <f t="shared" si="22"/>
        <v/>
      </c>
      <c r="CB6" t="str">
        <f t="shared" si="23"/>
        <v/>
      </c>
      <c r="CC6" t="str">
        <f t="shared" si="24"/>
        <v/>
      </c>
      <c r="CD6" t="str">
        <f t="shared" si="25"/>
        <v/>
      </c>
    </row>
    <row r="7" spans="1:82" ht="33.6" customHeight="1" x14ac:dyDescent="0.3">
      <c r="A7" s="4"/>
      <c r="B7" s="4">
        <v>4</v>
      </c>
      <c r="C7" s="4"/>
      <c r="D7" s="5"/>
      <c r="E7" s="6"/>
      <c r="F7" s="5"/>
      <c r="G7" s="6"/>
      <c r="H7" s="5"/>
      <c r="I7" s="21"/>
      <c r="J7" s="5"/>
      <c r="K7" s="6"/>
      <c r="L7" s="5"/>
      <c r="M7" s="6"/>
      <c r="N7" s="5"/>
      <c r="O7" s="6"/>
      <c r="P7" s="5"/>
      <c r="Q7" s="6"/>
      <c r="R7" s="5"/>
      <c r="S7" s="6"/>
      <c r="T7" s="5"/>
      <c r="U7" s="21"/>
      <c r="V7" s="5"/>
      <c r="W7" s="6"/>
      <c r="X7" s="5"/>
      <c r="Y7" s="6"/>
      <c r="Z7" s="5"/>
      <c r="AA7" s="6"/>
      <c r="AB7" s="5"/>
      <c r="AC7" s="6"/>
      <c r="AD7" s="5"/>
      <c r="AE7" s="6"/>
      <c r="AF7" s="5"/>
      <c r="AG7" s="21"/>
      <c r="AH7" s="5"/>
      <c r="AI7" s="6"/>
      <c r="AJ7" s="5"/>
      <c r="AK7" s="6"/>
      <c r="AL7" s="5"/>
      <c r="AM7" s="21"/>
      <c r="AN7" s="5"/>
      <c r="AO7" s="6"/>
      <c r="AP7" s="5"/>
      <c r="AQ7" s="6"/>
      <c r="AR7" s="5"/>
      <c r="AS7" s="21"/>
      <c r="AT7" s="5"/>
      <c r="AU7" s="6"/>
      <c r="AV7" s="5"/>
      <c r="AW7" s="6"/>
      <c r="AX7" s="5"/>
      <c r="AY7" s="21"/>
      <c r="AZ7" s="6"/>
      <c r="BA7" s="6"/>
      <c r="BB7" s="6"/>
      <c r="BC7" s="7" t="str">
        <f t="shared" si="0"/>
        <v/>
      </c>
      <c r="BD7" s="7" t="str">
        <f t="shared" si="1"/>
        <v/>
      </c>
      <c r="BE7" s="4"/>
      <c r="BF7" s="16"/>
      <c r="BG7" s="16" t="str">
        <f t="shared" si="2"/>
        <v/>
      </c>
      <c r="BH7" s="16" t="str">
        <f t="shared" si="3"/>
        <v/>
      </c>
      <c r="BI7" s="16" t="str">
        <f t="shared" si="4"/>
        <v/>
      </c>
      <c r="BJ7" s="16" t="str">
        <f t="shared" si="5"/>
        <v/>
      </c>
      <c r="BK7" t="str">
        <f t="shared" si="6"/>
        <v/>
      </c>
      <c r="BL7" t="str">
        <f t="shared" si="7"/>
        <v/>
      </c>
      <c r="BM7" t="str">
        <f t="shared" si="8"/>
        <v/>
      </c>
      <c r="BN7" t="str">
        <f t="shared" si="9"/>
        <v/>
      </c>
      <c r="BO7" t="str">
        <f t="shared" si="10"/>
        <v/>
      </c>
      <c r="BP7" t="str">
        <f t="shared" si="11"/>
        <v/>
      </c>
      <c r="BQ7" t="str">
        <f t="shared" si="12"/>
        <v/>
      </c>
      <c r="BR7" t="str">
        <f t="shared" si="13"/>
        <v/>
      </c>
      <c r="BS7" t="str">
        <f t="shared" si="14"/>
        <v/>
      </c>
      <c r="BT7" t="str">
        <f t="shared" si="15"/>
        <v/>
      </c>
      <c r="BU7" t="str">
        <f t="shared" si="16"/>
        <v/>
      </c>
      <c r="BV7" t="str">
        <f t="shared" si="17"/>
        <v/>
      </c>
      <c r="BW7" t="str">
        <f t="shared" si="18"/>
        <v/>
      </c>
      <c r="BX7" t="str">
        <f t="shared" si="19"/>
        <v/>
      </c>
      <c r="BY7" t="str">
        <f t="shared" si="20"/>
        <v/>
      </c>
      <c r="BZ7" t="str">
        <f t="shared" si="21"/>
        <v/>
      </c>
      <c r="CA7" t="str">
        <f t="shared" si="22"/>
        <v/>
      </c>
      <c r="CB7" t="str">
        <f t="shared" si="23"/>
        <v/>
      </c>
      <c r="CC7" t="str">
        <f t="shared" si="24"/>
        <v/>
      </c>
      <c r="CD7" t="str">
        <f t="shared" si="25"/>
        <v/>
      </c>
    </row>
    <row r="8" spans="1:82" ht="33.6" customHeight="1" x14ac:dyDescent="0.3">
      <c r="A8" s="4"/>
      <c r="B8" s="4"/>
      <c r="C8" s="4"/>
      <c r="D8" s="5"/>
      <c r="E8" s="6"/>
      <c r="F8" s="5"/>
      <c r="G8" s="6"/>
      <c r="H8" s="5"/>
      <c r="I8" s="21"/>
      <c r="J8" s="5"/>
      <c r="K8" s="6"/>
      <c r="L8" s="5"/>
      <c r="M8" s="6"/>
      <c r="N8" s="5"/>
      <c r="O8" s="6"/>
      <c r="P8" s="5"/>
      <c r="Q8" s="6"/>
      <c r="R8" s="5"/>
      <c r="S8" s="6"/>
      <c r="T8" s="5"/>
      <c r="U8" s="21"/>
      <c r="V8" s="5"/>
      <c r="W8" s="6"/>
      <c r="X8" s="5"/>
      <c r="Y8" s="6"/>
      <c r="Z8" s="5"/>
      <c r="AA8" s="6"/>
      <c r="AB8" s="5"/>
      <c r="AC8" s="6"/>
      <c r="AD8" s="5"/>
      <c r="AE8" s="6"/>
      <c r="AF8" s="5"/>
      <c r="AG8" s="21"/>
      <c r="AH8" s="5"/>
      <c r="AI8" s="6"/>
      <c r="AJ8" s="5"/>
      <c r="AK8" s="6"/>
      <c r="AL8" s="5"/>
      <c r="AM8" s="21"/>
      <c r="AN8" s="5"/>
      <c r="AO8" s="6"/>
      <c r="AP8" s="5"/>
      <c r="AQ8" s="6"/>
      <c r="AR8" s="5"/>
      <c r="AS8" s="21"/>
      <c r="AT8" s="5"/>
      <c r="AU8" s="6"/>
      <c r="AV8" s="5"/>
      <c r="AW8" s="6"/>
      <c r="AX8" s="5"/>
      <c r="AY8" s="21"/>
      <c r="AZ8" s="6"/>
      <c r="BA8" s="6"/>
      <c r="BB8" s="6"/>
      <c r="BC8" s="7" t="str">
        <f t="shared" si="0"/>
        <v/>
      </c>
      <c r="BD8" s="7" t="str">
        <f t="shared" si="1"/>
        <v/>
      </c>
      <c r="BE8" s="4"/>
      <c r="BF8" s="16"/>
      <c r="BG8" s="16" t="str">
        <f t="shared" si="2"/>
        <v/>
      </c>
      <c r="BH8" s="16" t="str">
        <f t="shared" si="3"/>
        <v/>
      </c>
      <c r="BI8" s="16" t="str">
        <f t="shared" si="4"/>
        <v/>
      </c>
      <c r="BJ8" s="16" t="str">
        <f t="shared" si="5"/>
        <v/>
      </c>
      <c r="BK8" t="str">
        <f t="shared" si="6"/>
        <v/>
      </c>
      <c r="BL8" t="str">
        <f t="shared" si="7"/>
        <v/>
      </c>
      <c r="BM8" t="str">
        <f t="shared" si="8"/>
        <v/>
      </c>
      <c r="BN8" t="str">
        <f t="shared" si="9"/>
        <v/>
      </c>
      <c r="BO8" t="str">
        <f t="shared" si="10"/>
        <v/>
      </c>
      <c r="BP8" t="str">
        <f t="shared" si="11"/>
        <v/>
      </c>
      <c r="BQ8" t="str">
        <f t="shared" si="12"/>
        <v/>
      </c>
      <c r="BR8" t="str">
        <f t="shared" si="13"/>
        <v/>
      </c>
      <c r="BS8" t="str">
        <f t="shared" si="14"/>
        <v/>
      </c>
      <c r="BT8" t="str">
        <f t="shared" si="15"/>
        <v/>
      </c>
      <c r="BU8" t="str">
        <f t="shared" si="16"/>
        <v/>
      </c>
      <c r="BV8" t="str">
        <f t="shared" si="17"/>
        <v/>
      </c>
      <c r="BW8" t="str">
        <f t="shared" si="18"/>
        <v/>
      </c>
      <c r="BX8" t="str">
        <f t="shared" si="19"/>
        <v/>
      </c>
      <c r="BY8" t="str">
        <f t="shared" si="20"/>
        <v/>
      </c>
      <c r="BZ8" t="str">
        <f t="shared" si="21"/>
        <v/>
      </c>
      <c r="CA8" t="str">
        <f t="shared" si="22"/>
        <v/>
      </c>
      <c r="CB8" t="str">
        <f t="shared" si="23"/>
        <v/>
      </c>
      <c r="CC8" t="str">
        <f t="shared" si="24"/>
        <v/>
      </c>
      <c r="CD8" t="str">
        <f t="shared" si="25"/>
        <v/>
      </c>
    </row>
    <row r="9" spans="1:82" ht="33.6" customHeight="1" x14ac:dyDescent="0.3">
      <c r="A9" s="4"/>
      <c r="B9" s="4"/>
      <c r="C9" s="4"/>
      <c r="D9" s="5"/>
      <c r="E9" s="6"/>
      <c r="F9" s="5"/>
      <c r="G9" s="6"/>
      <c r="H9" s="5"/>
      <c r="I9" s="21"/>
      <c r="J9" s="5"/>
      <c r="K9" s="6"/>
      <c r="L9" s="5"/>
      <c r="M9" s="6"/>
      <c r="N9" s="5"/>
      <c r="O9" s="6"/>
      <c r="P9" s="5"/>
      <c r="Q9" s="6"/>
      <c r="R9" s="5"/>
      <c r="S9" s="6"/>
      <c r="T9" s="5"/>
      <c r="U9" s="21"/>
      <c r="V9" s="5"/>
      <c r="W9" s="6"/>
      <c r="X9" s="5"/>
      <c r="Y9" s="6"/>
      <c r="Z9" s="5"/>
      <c r="AA9" s="6"/>
      <c r="AB9" s="5"/>
      <c r="AC9" s="6"/>
      <c r="AD9" s="5"/>
      <c r="AE9" s="6"/>
      <c r="AF9" s="5"/>
      <c r="AG9" s="21"/>
      <c r="AH9" s="5"/>
      <c r="AI9" s="6"/>
      <c r="AJ9" s="5"/>
      <c r="AK9" s="6"/>
      <c r="AL9" s="5"/>
      <c r="AM9" s="21"/>
      <c r="AN9" s="5"/>
      <c r="AO9" s="6"/>
      <c r="AP9" s="5"/>
      <c r="AQ9" s="6"/>
      <c r="AR9" s="5"/>
      <c r="AS9" s="21"/>
      <c r="AT9" s="5"/>
      <c r="AU9" s="6"/>
      <c r="AV9" s="5"/>
      <c r="AW9" s="6"/>
      <c r="AX9" s="5"/>
      <c r="AY9" s="21"/>
      <c r="AZ9" s="6"/>
      <c r="BA9" s="6"/>
      <c r="BB9" s="6"/>
      <c r="BC9" s="7" t="str">
        <f t="shared" si="0"/>
        <v/>
      </c>
      <c r="BD9" s="7" t="str">
        <f t="shared" si="1"/>
        <v/>
      </c>
      <c r="BE9" s="4"/>
      <c r="BF9" s="16"/>
      <c r="BG9" s="16" t="str">
        <f t="shared" si="2"/>
        <v/>
      </c>
      <c r="BH9" s="16" t="str">
        <f t="shared" si="3"/>
        <v/>
      </c>
      <c r="BI9" s="16" t="str">
        <f t="shared" si="4"/>
        <v/>
      </c>
      <c r="BJ9" s="16" t="str">
        <f t="shared" si="5"/>
        <v/>
      </c>
      <c r="BK9" t="str">
        <f t="shared" si="6"/>
        <v/>
      </c>
      <c r="BL9" t="str">
        <f t="shared" si="7"/>
        <v/>
      </c>
      <c r="BM9" t="str">
        <f t="shared" si="8"/>
        <v/>
      </c>
      <c r="BN9" t="str">
        <f t="shared" si="9"/>
        <v/>
      </c>
      <c r="BO9" t="str">
        <f t="shared" si="10"/>
        <v/>
      </c>
      <c r="BP9" t="str">
        <f t="shared" si="11"/>
        <v/>
      </c>
      <c r="BQ9" t="str">
        <f t="shared" si="12"/>
        <v/>
      </c>
      <c r="BR9" t="str">
        <f t="shared" si="13"/>
        <v/>
      </c>
      <c r="BS9" t="str">
        <f t="shared" si="14"/>
        <v/>
      </c>
      <c r="BT9" t="str">
        <f t="shared" si="15"/>
        <v/>
      </c>
      <c r="BU9" t="str">
        <f t="shared" si="16"/>
        <v/>
      </c>
      <c r="BV9" t="str">
        <f t="shared" si="17"/>
        <v/>
      </c>
      <c r="BW9" t="str">
        <f t="shared" si="18"/>
        <v/>
      </c>
      <c r="BX9" t="str">
        <f t="shared" si="19"/>
        <v/>
      </c>
      <c r="BY9" t="str">
        <f t="shared" si="20"/>
        <v/>
      </c>
      <c r="BZ9" t="str">
        <f t="shared" si="21"/>
        <v/>
      </c>
      <c r="CA9" t="str">
        <f t="shared" si="22"/>
        <v/>
      </c>
      <c r="CB9" t="str">
        <f t="shared" si="23"/>
        <v/>
      </c>
      <c r="CC9" t="str">
        <f t="shared" si="24"/>
        <v/>
      </c>
      <c r="CD9" t="str">
        <f t="shared" si="25"/>
        <v/>
      </c>
    </row>
    <row r="10" spans="1:82" ht="33.6" customHeight="1" x14ac:dyDescent="0.3">
      <c r="A10" s="4"/>
      <c r="B10" s="4"/>
      <c r="C10" s="4"/>
      <c r="D10" s="5"/>
      <c r="E10" s="6"/>
      <c r="F10" s="5"/>
      <c r="G10" s="6"/>
      <c r="H10" s="5"/>
      <c r="I10" s="21"/>
      <c r="J10" s="5"/>
      <c r="K10" s="6"/>
      <c r="L10" s="5"/>
      <c r="M10" s="6"/>
      <c r="N10" s="5"/>
      <c r="O10" s="6"/>
      <c r="P10" s="5"/>
      <c r="Q10" s="6"/>
      <c r="R10" s="5"/>
      <c r="S10" s="6"/>
      <c r="T10" s="5"/>
      <c r="U10" s="21"/>
      <c r="V10" s="5"/>
      <c r="W10" s="6"/>
      <c r="X10" s="5"/>
      <c r="Y10" s="6"/>
      <c r="Z10" s="5"/>
      <c r="AA10" s="6"/>
      <c r="AB10" s="5"/>
      <c r="AC10" s="6"/>
      <c r="AD10" s="5"/>
      <c r="AE10" s="6"/>
      <c r="AF10" s="5"/>
      <c r="AG10" s="21"/>
      <c r="AH10" s="5"/>
      <c r="AI10" s="6"/>
      <c r="AJ10" s="5"/>
      <c r="AK10" s="6"/>
      <c r="AL10" s="5"/>
      <c r="AM10" s="21"/>
      <c r="AN10" s="5"/>
      <c r="AO10" s="6"/>
      <c r="AP10" s="5"/>
      <c r="AQ10" s="6"/>
      <c r="AR10" s="5"/>
      <c r="AS10" s="21"/>
      <c r="AT10" s="5"/>
      <c r="AU10" s="6"/>
      <c r="AV10" s="5"/>
      <c r="AW10" s="6"/>
      <c r="AX10" s="5"/>
      <c r="AY10" s="21"/>
      <c r="AZ10" s="6"/>
      <c r="BA10" s="6"/>
      <c r="BB10" s="6"/>
      <c r="BC10" s="7" t="str">
        <f t="shared" si="0"/>
        <v/>
      </c>
      <c r="BD10" s="7" t="str">
        <f t="shared" si="1"/>
        <v/>
      </c>
      <c r="BE10" s="4"/>
      <c r="BF10" s="16"/>
      <c r="BG10" s="16" t="str">
        <f t="shared" si="2"/>
        <v/>
      </c>
      <c r="BH10" s="16" t="str">
        <f t="shared" si="3"/>
        <v/>
      </c>
      <c r="BI10" s="16" t="str">
        <f t="shared" si="4"/>
        <v/>
      </c>
      <c r="BJ10" s="16" t="str">
        <f t="shared" si="5"/>
        <v/>
      </c>
      <c r="BK10" t="str">
        <f t="shared" si="6"/>
        <v/>
      </c>
      <c r="BL10" t="str">
        <f t="shared" si="7"/>
        <v/>
      </c>
      <c r="BM10" t="str">
        <f t="shared" si="8"/>
        <v/>
      </c>
      <c r="BN10" t="str">
        <f t="shared" si="9"/>
        <v/>
      </c>
      <c r="BO10" t="str">
        <f t="shared" si="10"/>
        <v/>
      </c>
      <c r="BP10" t="str">
        <f t="shared" si="11"/>
        <v/>
      </c>
      <c r="BQ10" t="str">
        <f t="shared" si="12"/>
        <v/>
      </c>
      <c r="BR10" t="str">
        <f t="shared" si="13"/>
        <v/>
      </c>
      <c r="BS10" t="str">
        <f t="shared" si="14"/>
        <v/>
      </c>
      <c r="BT10" t="str">
        <f t="shared" si="15"/>
        <v/>
      </c>
      <c r="BU10" t="str">
        <f t="shared" si="16"/>
        <v/>
      </c>
      <c r="BV10" t="str">
        <f t="shared" si="17"/>
        <v/>
      </c>
      <c r="BW10" t="str">
        <f t="shared" si="18"/>
        <v/>
      </c>
      <c r="BX10" t="str">
        <f t="shared" si="19"/>
        <v/>
      </c>
      <c r="BY10" t="str">
        <f t="shared" si="20"/>
        <v/>
      </c>
      <c r="BZ10" t="str">
        <f t="shared" si="21"/>
        <v/>
      </c>
      <c r="CA10" t="str">
        <f t="shared" si="22"/>
        <v/>
      </c>
      <c r="CB10" t="str">
        <f t="shared" si="23"/>
        <v/>
      </c>
      <c r="CC10" t="str">
        <f t="shared" si="24"/>
        <v/>
      </c>
      <c r="CD10" t="str">
        <f t="shared" si="25"/>
        <v/>
      </c>
    </row>
    <row r="11" spans="1:82" ht="33.6" customHeight="1" x14ac:dyDescent="0.3">
      <c r="A11" s="4"/>
      <c r="B11" s="4"/>
      <c r="C11" s="4"/>
      <c r="D11" s="5"/>
      <c r="E11" s="6"/>
      <c r="F11" s="5"/>
      <c r="G11" s="6"/>
      <c r="H11" s="5"/>
      <c r="I11" s="21"/>
      <c r="J11" s="5"/>
      <c r="K11" s="6"/>
      <c r="L11" s="5"/>
      <c r="M11" s="6"/>
      <c r="N11" s="5"/>
      <c r="O11" s="6"/>
      <c r="P11" s="5"/>
      <c r="Q11" s="6"/>
      <c r="R11" s="5"/>
      <c r="S11" s="6"/>
      <c r="T11" s="5"/>
      <c r="U11" s="21"/>
      <c r="V11" s="5"/>
      <c r="W11" s="6"/>
      <c r="X11" s="5"/>
      <c r="Y11" s="6"/>
      <c r="Z11" s="5"/>
      <c r="AA11" s="6"/>
      <c r="AB11" s="5"/>
      <c r="AC11" s="6"/>
      <c r="AD11" s="5"/>
      <c r="AE11" s="6"/>
      <c r="AF11" s="5"/>
      <c r="AG11" s="21"/>
      <c r="AH11" s="5"/>
      <c r="AI11" s="6"/>
      <c r="AJ11" s="5"/>
      <c r="AK11" s="6"/>
      <c r="AL11" s="5"/>
      <c r="AM11" s="21"/>
      <c r="AN11" s="5"/>
      <c r="AO11" s="6"/>
      <c r="AP11" s="5"/>
      <c r="AQ11" s="6"/>
      <c r="AR11" s="5"/>
      <c r="AS11" s="21"/>
      <c r="AT11" s="5"/>
      <c r="AU11" s="6"/>
      <c r="AV11" s="5"/>
      <c r="AW11" s="6"/>
      <c r="AX11" s="5"/>
      <c r="AY11" s="21"/>
      <c r="AZ11" s="6"/>
      <c r="BA11" s="6"/>
      <c r="BB11" s="6"/>
      <c r="BC11" s="7" t="str">
        <f t="shared" si="0"/>
        <v/>
      </c>
      <c r="BD11" s="7" t="str">
        <f t="shared" si="1"/>
        <v/>
      </c>
      <c r="BE11" s="4"/>
      <c r="BF11" s="16"/>
      <c r="BG11" s="16" t="str">
        <f t="shared" si="2"/>
        <v/>
      </c>
      <c r="BH11" s="16" t="str">
        <f t="shared" si="3"/>
        <v/>
      </c>
      <c r="BI11" s="16" t="str">
        <f t="shared" si="4"/>
        <v/>
      </c>
      <c r="BJ11" s="16" t="str">
        <f t="shared" si="5"/>
        <v/>
      </c>
      <c r="BK11" t="str">
        <f t="shared" si="6"/>
        <v/>
      </c>
      <c r="BL11" t="str">
        <f t="shared" si="7"/>
        <v/>
      </c>
      <c r="BM11" t="str">
        <f t="shared" si="8"/>
        <v/>
      </c>
      <c r="BN11" t="str">
        <f t="shared" si="9"/>
        <v/>
      </c>
      <c r="BO11" t="str">
        <f t="shared" si="10"/>
        <v/>
      </c>
      <c r="BP11" t="str">
        <f t="shared" si="11"/>
        <v/>
      </c>
      <c r="BQ11" t="str">
        <f t="shared" si="12"/>
        <v/>
      </c>
      <c r="BR11" t="str">
        <f t="shared" si="13"/>
        <v/>
      </c>
      <c r="BS11" t="str">
        <f t="shared" si="14"/>
        <v/>
      </c>
      <c r="BT11" t="str">
        <f t="shared" si="15"/>
        <v/>
      </c>
      <c r="BU11" t="str">
        <f t="shared" si="16"/>
        <v/>
      </c>
      <c r="BV11" t="str">
        <f t="shared" si="17"/>
        <v/>
      </c>
      <c r="BW11" t="str">
        <f t="shared" si="18"/>
        <v/>
      </c>
      <c r="BX11" t="str">
        <f t="shared" si="19"/>
        <v/>
      </c>
      <c r="BY11" t="str">
        <f t="shared" si="20"/>
        <v/>
      </c>
      <c r="BZ11" t="str">
        <f t="shared" si="21"/>
        <v/>
      </c>
      <c r="CA11" t="str">
        <f t="shared" si="22"/>
        <v/>
      </c>
      <c r="CB11" t="str">
        <f t="shared" si="23"/>
        <v/>
      </c>
      <c r="CC11" t="str">
        <f t="shared" si="24"/>
        <v/>
      </c>
      <c r="CD11" t="str">
        <f t="shared" si="25"/>
        <v/>
      </c>
    </row>
    <row r="12" spans="1:82" ht="33.6" customHeight="1" x14ac:dyDescent="0.3">
      <c r="A12" s="4"/>
      <c r="B12" s="4"/>
      <c r="C12" s="4"/>
      <c r="D12" s="5"/>
      <c r="E12" s="6"/>
      <c r="F12" s="5"/>
      <c r="G12" s="6"/>
      <c r="H12" s="5"/>
      <c r="I12" s="21"/>
      <c r="J12" s="5"/>
      <c r="K12" s="6"/>
      <c r="L12" s="5"/>
      <c r="M12" s="6"/>
      <c r="N12" s="5"/>
      <c r="O12" s="6"/>
      <c r="P12" s="5"/>
      <c r="Q12" s="6"/>
      <c r="R12" s="5"/>
      <c r="S12" s="6"/>
      <c r="T12" s="5"/>
      <c r="U12" s="21"/>
      <c r="V12" s="5"/>
      <c r="W12" s="6"/>
      <c r="X12" s="5"/>
      <c r="Y12" s="6"/>
      <c r="Z12" s="5"/>
      <c r="AA12" s="6"/>
      <c r="AB12" s="5"/>
      <c r="AC12" s="6"/>
      <c r="AD12" s="5"/>
      <c r="AE12" s="6"/>
      <c r="AF12" s="5"/>
      <c r="AG12" s="21"/>
      <c r="AH12" s="5"/>
      <c r="AI12" s="6"/>
      <c r="AJ12" s="5"/>
      <c r="AK12" s="6"/>
      <c r="AL12" s="5"/>
      <c r="AM12" s="21"/>
      <c r="AN12" s="5"/>
      <c r="AO12" s="6"/>
      <c r="AP12" s="5"/>
      <c r="AQ12" s="6"/>
      <c r="AR12" s="5"/>
      <c r="AS12" s="21"/>
      <c r="AT12" s="5"/>
      <c r="AU12" s="6"/>
      <c r="AV12" s="5"/>
      <c r="AW12" s="6"/>
      <c r="AX12" s="5"/>
      <c r="AY12" s="21"/>
      <c r="AZ12" s="6"/>
      <c r="BA12" s="6"/>
      <c r="BB12" s="6"/>
      <c r="BC12" s="7" t="str">
        <f t="shared" si="0"/>
        <v/>
      </c>
      <c r="BD12" s="7" t="str">
        <f t="shared" si="1"/>
        <v/>
      </c>
      <c r="BE12" s="4"/>
      <c r="BF12" s="16"/>
      <c r="BG12" s="16" t="str">
        <f t="shared" si="2"/>
        <v/>
      </c>
      <c r="BH12" s="16" t="str">
        <f t="shared" si="3"/>
        <v/>
      </c>
      <c r="BI12" s="16" t="str">
        <f t="shared" si="4"/>
        <v/>
      </c>
      <c r="BJ12" s="16" t="str">
        <f t="shared" si="5"/>
        <v/>
      </c>
      <c r="BK12" t="str">
        <f t="shared" si="6"/>
        <v/>
      </c>
      <c r="BL12" t="str">
        <f t="shared" si="7"/>
        <v/>
      </c>
      <c r="BM12" t="str">
        <f t="shared" si="8"/>
        <v/>
      </c>
      <c r="BN12" t="str">
        <f t="shared" si="9"/>
        <v/>
      </c>
      <c r="BO12" t="str">
        <f t="shared" si="10"/>
        <v/>
      </c>
      <c r="BP12" t="str">
        <f t="shared" si="11"/>
        <v/>
      </c>
      <c r="BQ12" t="str">
        <f t="shared" si="12"/>
        <v/>
      </c>
      <c r="BR12" t="str">
        <f t="shared" si="13"/>
        <v/>
      </c>
      <c r="BS12" t="str">
        <f t="shared" si="14"/>
        <v/>
      </c>
      <c r="BT12" t="str">
        <f t="shared" si="15"/>
        <v/>
      </c>
      <c r="BU12" t="str">
        <f t="shared" si="16"/>
        <v/>
      </c>
      <c r="BV12" t="str">
        <f t="shared" si="17"/>
        <v/>
      </c>
      <c r="BW12" t="str">
        <f t="shared" si="18"/>
        <v/>
      </c>
      <c r="BX12" t="str">
        <f t="shared" si="19"/>
        <v/>
      </c>
      <c r="BY12" t="str">
        <f t="shared" si="20"/>
        <v/>
      </c>
      <c r="BZ12" t="str">
        <f t="shared" si="21"/>
        <v/>
      </c>
      <c r="CA12" t="str">
        <f t="shared" si="22"/>
        <v/>
      </c>
      <c r="CB12" t="str">
        <f t="shared" si="23"/>
        <v/>
      </c>
      <c r="CC12" t="str">
        <f t="shared" si="24"/>
        <v/>
      </c>
      <c r="CD12" t="str">
        <f t="shared" si="25"/>
        <v/>
      </c>
    </row>
    <row r="13" spans="1:82" ht="33.6" customHeight="1" x14ac:dyDescent="0.3">
      <c r="A13" s="4"/>
      <c r="B13" s="4"/>
      <c r="C13" s="4"/>
      <c r="D13" s="5"/>
      <c r="E13" s="6"/>
      <c r="F13" s="5"/>
      <c r="G13" s="6"/>
      <c r="H13" s="5"/>
      <c r="I13" s="21"/>
      <c r="J13" s="5"/>
      <c r="K13" s="6"/>
      <c r="L13" s="5"/>
      <c r="M13" s="6"/>
      <c r="N13" s="5"/>
      <c r="O13" s="6"/>
      <c r="P13" s="5"/>
      <c r="Q13" s="6"/>
      <c r="R13" s="5"/>
      <c r="S13" s="6"/>
      <c r="T13" s="5"/>
      <c r="U13" s="21"/>
      <c r="V13" s="5"/>
      <c r="W13" s="6"/>
      <c r="X13" s="5"/>
      <c r="Y13" s="6"/>
      <c r="Z13" s="5"/>
      <c r="AA13" s="6"/>
      <c r="AB13" s="5"/>
      <c r="AC13" s="6"/>
      <c r="AD13" s="5"/>
      <c r="AE13" s="6"/>
      <c r="AF13" s="5"/>
      <c r="AG13" s="21"/>
      <c r="AH13" s="5"/>
      <c r="AI13" s="6"/>
      <c r="AJ13" s="5"/>
      <c r="AK13" s="6"/>
      <c r="AL13" s="5"/>
      <c r="AM13" s="21"/>
      <c r="AN13" s="5"/>
      <c r="AO13" s="6"/>
      <c r="AP13" s="5"/>
      <c r="AQ13" s="6"/>
      <c r="AR13" s="5"/>
      <c r="AS13" s="21"/>
      <c r="AT13" s="5"/>
      <c r="AU13" s="6"/>
      <c r="AV13" s="5"/>
      <c r="AW13" s="6"/>
      <c r="AX13" s="5"/>
      <c r="AY13" s="21"/>
      <c r="AZ13" s="6"/>
      <c r="BA13" s="6"/>
      <c r="BB13" s="6"/>
      <c r="BC13" s="7" t="str">
        <f t="shared" si="0"/>
        <v/>
      </c>
      <c r="BD13" s="7" t="str">
        <f t="shared" si="1"/>
        <v/>
      </c>
      <c r="BE13" s="4"/>
      <c r="BF13" s="16"/>
      <c r="BG13" s="16" t="str">
        <f t="shared" si="2"/>
        <v/>
      </c>
      <c r="BH13" s="16" t="str">
        <f t="shared" si="3"/>
        <v/>
      </c>
      <c r="BI13" s="16" t="str">
        <f t="shared" si="4"/>
        <v/>
      </c>
      <c r="BJ13" s="16" t="str">
        <f t="shared" si="5"/>
        <v/>
      </c>
      <c r="BK13" t="str">
        <f t="shared" si="6"/>
        <v/>
      </c>
      <c r="BL13" t="str">
        <f t="shared" si="7"/>
        <v/>
      </c>
      <c r="BM13" t="str">
        <f t="shared" si="8"/>
        <v/>
      </c>
      <c r="BN13" t="str">
        <f t="shared" si="9"/>
        <v/>
      </c>
      <c r="BO13" t="str">
        <f t="shared" si="10"/>
        <v/>
      </c>
      <c r="BP13" t="str">
        <f t="shared" si="11"/>
        <v/>
      </c>
      <c r="BQ13" t="str">
        <f t="shared" si="12"/>
        <v/>
      </c>
      <c r="BR13" t="str">
        <f t="shared" si="13"/>
        <v/>
      </c>
      <c r="BS13" t="str">
        <f t="shared" si="14"/>
        <v/>
      </c>
      <c r="BT13" t="str">
        <f t="shared" si="15"/>
        <v/>
      </c>
      <c r="BU13" t="str">
        <f t="shared" si="16"/>
        <v/>
      </c>
      <c r="BV13" t="str">
        <f t="shared" si="17"/>
        <v/>
      </c>
      <c r="BW13" t="str">
        <f t="shared" si="18"/>
        <v/>
      </c>
      <c r="BX13" t="str">
        <f t="shared" si="19"/>
        <v/>
      </c>
      <c r="BY13" t="str">
        <f t="shared" si="20"/>
        <v/>
      </c>
      <c r="BZ13" t="str">
        <f t="shared" si="21"/>
        <v/>
      </c>
      <c r="CA13" t="str">
        <f t="shared" si="22"/>
        <v/>
      </c>
      <c r="CB13" t="str">
        <f t="shared" si="23"/>
        <v/>
      </c>
      <c r="CC13" t="str">
        <f t="shared" si="24"/>
        <v/>
      </c>
      <c r="CD13" t="str">
        <f t="shared" si="25"/>
        <v/>
      </c>
    </row>
    <row r="14" spans="1:82" ht="33.6" customHeight="1" x14ac:dyDescent="0.3">
      <c r="A14" s="4"/>
      <c r="B14" s="4"/>
      <c r="C14" s="4"/>
      <c r="D14" s="5"/>
      <c r="E14" s="6"/>
      <c r="F14" s="5"/>
      <c r="G14" s="6"/>
      <c r="H14" s="5"/>
      <c r="I14" s="21"/>
      <c r="J14" s="5"/>
      <c r="K14" s="6"/>
      <c r="L14" s="5"/>
      <c r="M14" s="6"/>
      <c r="N14" s="5"/>
      <c r="O14" s="6"/>
      <c r="P14" s="5"/>
      <c r="Q14" s="6"/>
      <c r="R14" s="5"/>
      <c r="S14" s="6"/>
      <c r="T14" s="5"/>
      <c r="U14" s="21"/>
      <c r="V14" s="5"/>
      <c r="W14" s="6"/>
      <c r="X14" s="5"/>
      <c r="Y14" s="6"/>
      <c r="Z14" s="5"/>
      <c r="AA14" s="6"/>
      <c r="AB14" s="5"/>
      <c r="AC14" s="6"/>
      <c r="AD14" s="5"/>
      <c r="AE14" s="6"/>
      <c r="AF14" s="5"/>
      <c r="AG14" s="21"/>
      <c r="AH14" s="5"/>
      <c r="AI14" s="6"/>
      <c r="AJ14" s="5"/>
      <c r="AK14" s="6"/>
      <c r="AL14" s="5"/>
      <c r="AM14" s="21"/>
      <c r="AN14" s="5"/>
      <c r="AO14" s="6"/>
      <c r="AP14" s="5"/>
      <c r="AQ14" s="6"/>
      <c r="AR14" s="5"/>
      <c r="AS14" s="21"/>
      <c r="AT14" s="5"/>
      <c r="AU14" s="6"/>
      <c r="AV14" s="5"/>
      <c r="AW14" s="6"/>
      <c r="AX14" s="5"/>
      <c r="AY14" s="21"/>
      <c r="AZ14" s="6"/>
      <c r="BA14" s="6"/>
      <c r="BB14" s="6"/>
      <c r="BC14" s="7" t="str">
        <f t="shared" si="0"/>
        <v/>
      </c>
      <c r="BD14" s="7" t="str">
        <f t="shared" si="1"/>
        <v/>
      </c>
      <c r="BE14" s="4"/>
      <c r="BF14" s="16"/>
      <c r="BG14" s="16" t="str">
        <f t="shared" si="2"/>
        <v/>
      </c>
      <c r="BH14" s="16" t="str">
        <f t="shared" si="3"/>
        <v/>
      </c>
      <c r="BI14" s="16" t="str">
        <f t="shared" si="4"/>
        <v/>
      </c>
      <c r="BJ14" s="16" t="str">
        <f t="shared" si="5"/>
        <v/>
      </c>
      <c r="BK14" t="str">
        <f t="shared" si="6"/>
        <v/>
      </c>
      <c r="BL14" t="str">
        <f t="shared" si="7"/>
        <v/>
      </c>
      <c r="BM14" t="str">
        <f t="shared" si="8"/>
        <v/>
      </c>
      <c r="BN14" t="str">
        <f t="shared" si="9"/>
        <v/>
      </c>
      <c r="BO14" t="str">
        <f t="shared" si="10"/>
        <v/>
      </c>
      <c r="BP14" t="str">
        <f t="shared" si="11"/>
        <v/>
      </c>
      <c r="BQ14" t="str">
        <f t="shared" si="12"/>
        <v/>
      </c>
      <c r="BR14" t="str">
        <f t="shared" si="13"/>
        <v/>
      </c>
      <c r="BS14" t="str">
        <f t="shared" si="14"/>
        <v/>
      </c>
      <c r="BT14" t="str">
        <f t="shared" si="15"/>
        <v/>
      </c>
      <c r="BU14" t="str">
        <f t="shared" si="16"/>
        <v/>
      </c>
      <c r="BV14" t="str">
        <f t="shared" si="17"/>
        <v/>
      </c>
      <c r="BW14" t="str">
        <f t="shared" si="18"/>
        <v/>
      </c>
      <c r="BX14" t="str">
        <f t="shared" si="19"/>
        <v/>
      </c>
      <c r="BY14" t="str">
        <f t="shared" si="20"/>
        <v/>
      </c>
      <c r="BZ14" t="str">
        <f t="shared" si="21"/>
        <v/>
      </c>
      <c r="CA14" t="str">
        <f t="shared" si="22"/>
        <v/>
      </c>
      <c r="CB14" t="str">
        <f t="shared" si="23"/>
        <v/>
      </c>
      <c r="CC14" t="str">
        <f t="shared" si="24"/>
        <v/>
      </c>
      <c r="CD14" t="str">
        <f t="shared" si="25"/>
        <v/>
      </c>
    </row>
    <row r="15" spans="1:82" ht="33.6" customHeight="1" x14ac:dyDescent="0.3">
      <c r="A15" s="4"/>
      <c r="B15" s="4"/>
      <c r="C15" s="4"/>
      <c r="D15" s="5"/>
      <c r="E15" s="6"/>
      <c r="F15" s="5"/>
      <c r="G15" s="6"/>
      <c r="H15" s="5"/>
      <c r="I15" s="21"/>
      <c r="J15" s="5"/>
      <c r="K15" s="6"/>
      <c r="L15" s="5"/>
      <c r="M15" s="6"/>
      <c r="N15" s="5"/>
      <c r="O15" s="6"/>
      <c r="P15" s="5"/>
      <c r="Q15" s="6"/>
      <c r="R15" s="5"/>
      <c r="S15" s="6"/>
      <c r="T15" s="5"/>
      <c r="U15" s="21"/>
      <c r="V15" s="5"/>
      <c r="W15" s="6"/>
      <c r="X15" s="5"/>
      <c r="Y15" s="6"/>
      <c r="Z15" s="5"/>
      <c r="AA15" s="6"/>
      <c r="AB15" s="5"/>
      <c r="AC15" s="6"/>
      <c r="AD15" s="5"/>
      <c r="AE15" s="6"/>
      <c r="AF15" s="5"/>
      <c r="AG15" s="21"/>
      <c r="AH15" s="5"/>
      <c r="AI15" s="6"/>
      <c r="AJ15" s="5"/>
      <c r="AK15" s="6"/>
      <c r="AL15" s="5"/>
      <c r="AM15" s="21"/>
      <c r="AN15" s="5"/>
      <c r="AO15" s="6"/>
      <c r="AP15" s="5"/>
      <c r="AQ15" s="6"/>
      <c r="AR15" s="5"/>
      <c r="AS15" s="21"/>
      <c r="AT15" s="5"/>
      <c r="AU15" s="6"/>
      <c r="AV15" s="5"/>
      <c r="AW15" s="6"/>
      <c r="AX15" s="5"/>
      <c r="AY15" s="21"/>
      <c r="AZ15" s="6"/>
      <c r="BA15" s="6"/>
      <c r="BB15" s="6"/>
      <c r="BC15" s="7" t="str">
        <f t="shared" si="0"/>
        <v/>
      </c>
      <c r="BD15" s="7" t="str">
        <f t="shared" si="1"/>
        <v/>
      </c>
      <c r="BE15" s="4"/>
      <c r="BF15" s="16"/>
      <c r="BG15" s="16" t="str">
        <f t="shared" si="2"/>
        <v/>
      </c>
      <c r="BH15" s="16" t="str">
        <f t="shared" si="3"/>
        <v/>
      </c>
      <c r="BI15" s="16" t="str">
        <f t="shared" si="4"/>
        <v/>
      </c>
      <c r="BJ15" s="16" t="str">
        <f t="shared" si="5"/>
        <v/>
      </c>
      <c r="BK15" t="str">
        <f t="shared" si="6"/>
        <v/>
      </c>
      <c r="BL15" t="str">
        <f t="shared" si="7"/>
        <v/>
      </c>
      <c r="BM15" t="str">
        <f t="shared" si="8"/>
        <v/>
      </c>
      <c r="BN15" t="str">
        <f t="shared" si="9"/>
        <v/>
      </c>
      <c r="BO15" t="str">
        <f t="shared" si="10"/>
        <v/>
      </c>
      <c r="BP15" t="str">
        <f t="shared" si="11"/>
        <v/>
      </c>
      <c r="BQ15" t="str">
        <f t="shared" si="12"/>
        <v/>
      </c>
      <c r="BR15" t="str">
        <f t="shared" si="13"/>
        <v/>
      </c>
      <c r="BS15" t="str">
        <f t="shared" si="14"/>
        <v/>
      </c>
      <c r="BT15" t="str">
        <f t="shared" si="15"/>
        <v/>
      </c>
      <c r="BU15" t="str">
        <f t="shared" si="16"/>
        <v/>
      </c>
      <c r="BV15" t="str">
        <f t="shared" si="17"/>
        <v/>
      </c>
      <c r="BW15" t="str">
        <f t="shared" si="18"/>
        <v/>
      </c>
      <c r="BX15" t="str">
        <f t="shared" si="19"/>
        <v/>
      </c>
      <c r="BY15" t="str">
        <f t="shared" si="20"/>
        <v/>
      </c>
      <c r="BZ15" t="str">
        <f t="shared" si="21"/>
        <v/>
      </c>
      <c r="CA15" t="str">
        <f t="shared" si="22"/>
        <v/>
      </c>
      <c r="CB15" t="str">
        <f t="shared" si="23"/>
        <v/>
      </c>
      <c r="CC15" t="str">
        <f t="shared" si="24"/>
        <v/>
      </c>
      <c r="CD15" t="str">
        <f t="shared" si="25"/>
        <v/>
      </c>
    </row>
    <row r="16" spans="1:82" ht="33.6" customHeight="1" x14ac:dyDescent="0.3">
      <c r="A16" s="4"/>
      <c r="B16" s="4"/>
      <c r="C16" s="4"/>
      <c r="D16" s="5"/>
      <c r="E16" s="6"/>
      <c r="F16" s="5"/>
      <c r="G16" s="6"/>
      <c r="H16" s="5"/>
      <c r="I16" s="21"/>
      <c r="J16" s="5"/>
      <c r="K16" s="6"/>
      <c r="L16" s="5"/>
      <c r="M16" s="6"/>
      <c r="N16" s="5"/>
      <c r="O16" s="6"/>
      <c r="P16" s="5"/>
      <c r="Q16" s="6"/>
      <c r="R16" s="5"/>
      <c r="S16" s="6"/>
      <c r="T16" s="5"/>
      <c r="U16" s="21"/>
      <c r="V16" s="5"/>
      <c r="W16" s="6"/>
      <c r="X16" s="5"/>
      <c r="Y16" s="6"/>
      <c r="Z16" s="5"/>
      <c r="AA16" s="6"/>
      <c r="AB16" s="5"/>
      <c r="AC16" s="6"/>
      <c r="AD16" s="5"/>
      <c r="AE16" s="6"/>
      <c r="AF16" s="5"/>
      <c r="AG16" s="21"/>
      <c r="AH16" s="5"/>
      <c r="AI16" s="6"/>
      <c r="AJ16" s="5"/>
      <c r="AK16" s="6"/>
      <c r="AL16" s="5"/>
      <c r="AM16" s="21"/>
      <c r="AN16" s="5"/>
      <c r="AO16" s="6"/>
      <c r="AP16" s="5"/>
      <c r="AQ16" s="6"/>
      <c r="AR16" s="5"/>
      <c r="AS16" s="21"/>
      <c r="AT16" s="5"/>
      <c r="AU16" s="6"/>
      <c r="AV16" s="5"/>
      <c r="AW16" s="6"/>
      <c r="AX16" s="5"/>
      <c r="AY16" s="21"/>
      <c r="AZ16" s="6"/>
      <c r="BA16" s="6"/>
      <c r="BB16" s="6"/>
      <c r="BC16" s="7" t="str">
        <f t="shared" si="0"/>
        <v/>
      </c>
      <c r="BD16" s="7" t="str">
        <f t="shared" si="1"/>
        <v/>
      </c>
      <c r="BE16" s="4"/>
      <c r="BF16" s="16"/>
      <c r="BG16" s="16" t="str">
        <f t="shared" si="2"/>
        <v/>
      </c>
      <c r="BH16" s="16" t="str">
        <f t="shared" si="3"/>
        <v/>
      </c>
      <c r="BI16" s="16" t="str">
        <f t="shared" si="4"/>
        <v/>
      </c>
      <c r="BJ16" s="16" t="str">
        <f t="shared" si="5"/>
        <v/>
      </c>
      <c r="BK16" t="str">
        <f t="shared" si="6"/>
        <v/>
      </c>
      <c r="BL16" t="str">
        <f t="shared" si="7"/>
        <v/>
      </c>
      <c r="BM16" t="str">
        <f t="shared" si="8"/>
        <v/>
      </c>
      <c r="BN16" t="str">
        <f t="shared" si="9"/>
        <v/>
      </c>
      <c r="BO16" t="str">
        <f t="shared" si="10"/>
        <v/>
      </c>
      <c r="BP16" t="str">
        <f t="shared" si="11"/>
        <v/>
      </c>
      <c r="BQ16" t="str">
        <f t="shared" si="12"/>
        <v/>
      </c>
      <c r="BR16" t="str">
        <f t="shared" si="13"/>
        <v/>
      </c>
      <c r="BS16" t="str">
        <f t="shared" si="14"/>
        <v/>
      </c>
      <c r="BT16" t="str">
        <f t="shared" si="15"/>
        <v/>
      </c>
      <c r="BU16" t="str">
        <f t="shared" si="16"/>
        <v/>
      </c>
      <c r="BV16" t="str">
        <f t="shared" si="17"/>
        <v/>
      </c>
      <c r="BW16" t="str">
        <f t="shared" si="18"/>
        <v/>
      </c>
      <c r="BX16" t="str">
        <f t="shared" si="19"/>
        <v/>
      </c>
      <c r="BY16" t="str">
        <f t="shared" si="20"/>
        <v/>
      </c>
      <c r="BZ16" t="str">
        <f t="shared" si="21"/>
        <v/>
      </c>
      <c r="CA16" t="str">
        <f t="shared" si="22"/>
        <v/>
      </c>
      <c r="CB16" t="str">
        <f t="shared" si="23"/>
        <v/>
      </c>
      <c r="CC16" t="str">
        <f t="shared" si="24"/>
        <v/>
      </c>
      <c r="CD16" t="str">
        <f t="shared" si="25"/>
        <v/>
      </c>
    </row>
    <row r="17" spans="1:82" ht="33.6" customHeight="1" x14ac:dyDescent="0.3">
      <c r="A17" s="4"/>
      <c r="B17" s="4"/>
      <c r="C17" s="4"/>
      <c r="D17" s="5"/>
      <c r="E17" s="6"/>
      <c r="F17" s="5"/>
      <c r="G17" s="6"/>
      <c r="H17" s="5"/>
      <c r="I17" s="21"/>
      <c r="J17" s="5"/>
      <c r="K17" s="6"/>
      <c r="L17" s="5"/>
      <c r="M17" s="6"/>
      <c r="N17" s="5"/>
      <c r="O17" s="6"/>
      <c r="P17" s="5"/>
      <c r="Q17" s="6"/>
      <c r="R17" s="5"/>
      <c r="S17" s="6"/>
      <c r="T17" s="5"/>
      <c r="U17" s="21"/>
      <c r="V17" s="5"/>
      <c r="W17" s="6"/>
      <c r="X17" s="5"/>
      <c r="Y17" s="6"/>
      <c r="Z17" s="5"/>
      <c r="AA17" s="6"/>
      <c r="AB17" s="5"/>
      <c r="AC17" s="6"/>
      <c r="AD17" s="5"/>
      <c r="AE17" s="6"/>
      <c r="AF17" s="5"/>
      <c r="AG17" s="21"/>
      <c r="AH17" s="5"/>
      <c r="AI17" s="6"/>
      <c r="AJ17" s="5"/>
      <c r="AK17" s="6"/>
      <c r="AL17" s="5"/>
      <c r="AM17" s="21"/>
      <c r="AN17" s="5"/>
      <c r="AO17" s="6"/>
      <c r="AP17" s="5"/>
      <c r="AQ17" s="6"/>
      <c r="AR17" s="5"/>
      <c r="AS17" s="21"/>
      <c r="AT17" s="5"/>
      <c r="AU17" s="6"/>
      <c r="AV17" s="5"/>
      <c r="AW17" s="6"/>
      <c r="AX17" s="5"/>
      <c r="AY17" s="21"/>
      <c r="AZ17" s="6"/>
      <c r="BA17" s="6"/>
      <c r="BB17" s="6"/>
      <c r="BC17" s="7" t="str">
        <f t="shared" si="0"/>
        <v/>
      </c>
      <c r="BD17" s="7" t="str">
        <f t="shared" si="1"/>
        <v/>
      </c>
      <c r="BE17" s="4"/>
      <c r="BF17" s="16"/>
      <c r="BG17" s="16" t="str">
        <f t="shared" si="2"/>
        <v/>
      </c>
      <c r="BH17" s="16" t="str">
        <f t="shared" si="3"/>
        <v/>
      </c>
      <c r="BI17" s="16" t="str">
        <f t="shared" si="4"/>
        <v/>
      </c>
      <c r="BJ17" s="16" t="str">
        <f t="shared" si="5"/>
        <v/>
      </c>
      <c r="BK17" t="str">
        <f t="shared" si="6"/>
        <v/>
      </c>
      <c r="BL17" t="str">
        <f t="shared" si="7"/>
        <v/>
      </c>
      <c r="BM17" t="str">
        <f t="shared" si="8"/>
        <v/>
      </c>
      <c r="BN17" t="str">
        <f t="shared" si="9"/>
        <v/>
      </c>
      <c r="BO17" t="str">
        <f t="shared" si="10"/>
        <v/>
      </c>
      <c r="BP17" t="str">
        <f t="shared" si="11"/>
        <v/>
      </c>
      <c r="BQ17" t="str">
        <f t="shared" si="12"/>
        <v/>
      </c>
      <c r="BR17" t="str">
        <f t="shared" si="13"/>
        <v/>
      </c>
      <c r="BS17" t="str">
        <f t="shared" si="14"/>
        <v/>
      </c>
      <c r="BT17" t="str">
        <f t="shared" si="15"/>
        <v/>
      </c>
      <c r="BU17" t="str">
        <f t="shared" si="16"/>
        <v/>
      </c>
      <c r="BV17" t="str">
        <f t="shared" si="17"/>
        <v/>
      </c>
      <c r="BW17" t="str">
        <f t="shared" si="18"/>
        <v/>
      </c>
      <c r="BX17" t="str">
        <f t="shared" si="19"/>
        <v/>
      </c>
      <c r="BY17" t="str">
        <f t="shared" si="20"/>
        <v/>
      </c>
      <c r="BZ17" t="str">
        <f t="shared" si="21"/>
        <v/>
      </c>
      <c r="CA17" t="str">
        <f t="shared" si="22"/>
        <v/>
      </c>
      <c r="CB17" t="str">
        <f t="shared" si="23"/>
        <v/>
      </c>
      <c r="CC17" t="str">
        <f t="shared" si="24"/>
        <v/>
      </c>
      <c r="CD17" t="str">
        <f t="shared" si="25"/>
        <v/>
      </c>
    </row>
    <row r="18" spans="1:82" ht="33.6" customHeight="1" x14ac:dyDescent="0.3">
      <c r="A18" s="4"/>
      <c r="B18" s="4"/>
      <c r="C18" s="4"/>
      <c r="D18" s="5"/>
      <c r="E18" s="6"/>
      <c r="F18" s="5"/>
      <c r="G18" s="6"/>
      <c r="H18" s="5"/>
      <c r="I18" s="21"/>
      <c r="J18" s="5"/>
      <c r="K18" s="6"/>
      <c r="L18" s="5"/>
      <c r="M18" s="6"/>
      <c r="N18" s="5"/>
      <c r="O18" s="6"/>
      <c r="P18" s="5"/>
      <c r="Q18" s="6"/>
      <c r="R18" s="5"/>
      <c r="S18" s="6"/>
      <c r="T18" s="5"/>
      <c r="U18" s="21"/>
      <c r="V18" s="5"/>
      <c r="W18" s="6"/>
      <c r="X18" s="5"/>
      <c r="Y18" s="6"/>
      <c r="Z18" s="5"/>
      <c r="AA18" s="6"/>
      <c r="AB18" s="5"/>
      <c r="AC18" s="6"/>
      <c r="AD18" s="5"/>
      <c r="AE18" s="6"/>
      <c r="AF18" s="5"/>
      <c r="AG18" s="21"/>
      <c r="AH18" s="5"/>
      <c r="AI18" s="6"/>
      <c r="AJ18" s="5"/>
      <c r="AK18" s="6"/>
      <c r="AL18" s="5"/>
      <c r="AM18" s="21"/>
      <c r="AN18" s="5"/>
      <c r="AO18" s="6"/>
      <c r="AP18" s="5"/>
      <c r="AQ18" s="6"/>
      <c r="AR18" s="5"/>
      <c r="AS18" s="21"/>
      <c r="AT18" s="5"/>
      <c r="AU18" s="6"/>
      <c r="AV18" s="5"/>
      <c r="AW18" s="6"/>
      <c r="AX18" s="5"/>
      <c r="AY18" s="21"/>
      <c r="AZ18" s="6"/>
      <c r="BA18" s="6"/>
      <c r="BB18" s="6"/>
      <c r="BC18" s="7" t="str">
        <f t="shared" si="0"/>
        <v/>
      </c>
      <c r="BD18" s="7" t="str">
        <f t="shared" si="1"/>
        <v/>
      </c>
      <c r="BE18" s="4"/>
      <c r="BF18" s="16"/>
      <c r="BG18" s="16" t="str">
        <f t="shared" si="2"/>
        <v/>
      </c>
      <c r="BH18" s="16" t="str">
        <f t="shared" si="3"/>
        <v/>
      </c>
      <c r="BI18" s="16" t="str">
        <f t="shared" si="4"/>
        <v/>
      </c>
      <c r="BJ18" s="16" t="str">
        <f t="shared" si="5"/>
        <v/>
      </c>
      <c r="BK18" t="str">
        <f t="shared" si="6"/>
        <v/>
      </c>
      <c r="BL18" t="str">
        <f t="shared" si="7"/>
        <v/>
      </c>
      <c r="BM18" t="str">
        <f t="shared" si="8"/>
        <v/>
      </c>
      <c r="BN18" t="str">
        <f t="shared" si="9"/>
        <v/>
      </c>
      <c r="BO18" t="str">
        <f t="shared" si="10"/>
        <v/>
      </c>
      <c r="BP18" t="str">
        <f t="shared" si="11"/>
        <v/>
      </c>
      <c r="BQ18" t="str">
        <f t="shared" si="12"/>
        <v/>
      </c>
      <c r="BR18" t="str">
        <f t="shared" si="13"/>
        <v/>
      </c>
      <c r="BS18" t="str">
        <f t="shared" si="14"/>
        <v/>
      </c>
      <c r="BT18" t="str">
        <f t="shared" si="15"/>
        <v/>
      </c>
      <c r="BU18" t="str">
        <f t="shared" si="16"/>
        <v/>
      </c>
      <c r="BV18" t="str">
        <f t="shared" si="17"/>
        <v/>
      </c>
      <c r="BW18" t="str">
        <f t="shared" si="18"/>
        <v/>
      </c>
      <c r="BX18" t="str">
        <f t="shared" si="19"/>
        <v/>
      </c>
      <c r="BY18" t="str">
        <f t="shared" si="20"/>
        <v/>
      </c>
      <c r="BZ18" t="str">
        <f t="shared" si="21"/>
        <v/>
      </c>
      <c r="CA18" t="str">
        <f t="shared" si="22"/>
        <v/>
      </c>
      <c r="CB18" t="str">
        <f t="shared" si="23"/>
        <v/>
      </c>
      <c r="CC18" t="str">
        <f t="shared" si="24"/>
        <v/>
      </c>
      <c r="CD18" t="str">
        <f t="shared" si="25"/>
        <v/>
      </c>
    </row>
    <row r="19" spans="1:82" ht="33.6" customHeight="1" x14ac:dyDescent="0.3">
      <c r="A19" s="4"/>
      <c r="B19" s="4"/>
      <c r="C19" s="4"/>
      <c r="D19" s="5"/>
      <c r="E19" s="6"/>
      <c r="F19" s="5"/>
      <c r="G19" s="6"/>
      <c r="H19" s="5"/>
      <c r="I19" s="21"/>
      <c r="J19" s="5"/>
      <c r="K19" s="6"/>
      <c r="L19" s="5"/>
      <c r="M19" s="6"/>
      <c r="N19" s="5"/>
      <c r="O19" s="6"/>
      <c r="P19" s="5"/>
      <c r="Q19" s="6"/>
      <c r="R19" s="5"/>
      <c r="S19" s="6"/>
      <c r="T19" s="5"/>
      <c r="U19" s="21"/>
      <c r="V19" s="5"/>
      <c r="W19" s="6"/>
      <c r="X19" s="5"/>
      <c r="Y19" s="6"/>
      <c r="Z19" s="5"/>
      <c r="AA19" s="6"/>
      <c r="AB19" s="5"/>
      <c r="AC19" s="6"/>
      <c r="AD19" s="5"/>
      <c r="AE19" s="6"/>
      <c r="AF19" s="5"/>
      <c r="AG19" s="21"/>
      <c r="AH19" s="5"/>
      <c r="AI19" s="6"/>
      <c r="AJ19" s="5"/>
      <c r="AK19" s="6"/>
      <c r="AL19" s="5"/>
      <c r="AM19" s="21"/>
      <c r="AN19" s="5"/>
      <c r="AO19" s="6"/>
      <c r="AP19" s="5"/>
      <c r="AQ19" s="6"/>
      <c r="AR19" s="5"/>
      <c r="AS19" s="21"/>
      <c r="AT19" s="5"/>
      <c r="AU19" s="6"/>
      <c r="AV19" s="5"/>
      <c r="AW19" s="6"/>
      <c r="AX19" s="5"/>
      <c r="AY19" s="21"/>
      <c r="AZ19" s="6"/>
      <c r="BA19" s="6"/>
      <c r="BB19" s="6"/>
      <c r="BC19" s="7" t="str">
        <f t="shared" si="0"/>
        <v/>
      </c>
      <c r="BD19" s="7" t="str">
        <f t="shared" si="1"/>
        <v/>
      </c>
      <c r="BE19" s="4"/>
      <c r="BF19" s="16"/>
      <c r="BG19" s="16" t="str">
        <f t="shared" si="2"/>
        <v/>
      </c>
      <c r="BH19" s="16" t="str">
        <f t="shared" si="3"/>
        <v/>
      </c>
      <c r="BI19" s="16" t="str">
        <f t="shared" si="4"/>
        <v/>
      </c>
      <c r="BJ19" s="16" t="str">
        <f t="shared" si="5"/>
        <v/>
      </c>
      <c r="BK19" t="str">
        <f t="shared" si="6"/>
        <v/>
      </c>
      <c r="BL19" t="str">
        <f t="shared" si="7"/>
        <v/>
      </c>
      <c r="BM19" t="str">
        <f t="shared" si="8"/>
        <v/>
      </c>
      <c r="BN19" t="str">
        <f t="shared" si="9"/>
        <v/>
      </c>
      <c r="BO19" t="str">
        <f t="shared" si="10"/>
        <v/>
      </c>
      <c r="BP19" t="str">
        <f t="shared" si="11"/>
        <v/>
      </c>
      <c r="BQ19" t="str">
        <f t="shared" si="12"/>
        <v/>
      </c>
      <c r="BR19" t="str">
        <f t="shared" si="13"/>
        <v/>
      </c>
      <c r="BS19" t="str">
        <f t="shared" si="14"/>
        <v/>
      </c>
      <c r="BT19" t="str">
        <f t="shared" si="15"/>
        <v/>
      </c>
      <c r="BU19" t="str">
        <f t="shared" si="16"/>
        <v/>
      </c>
      <c r="BV19" t="str">
        <f t="shared" si="17"/>
        <v/>
      </c>
      <c r="BW19" t="str">
        <f t="shared" si="18"/>
        <v/>
      </c>
      <c r="BX19" t="str">
        <f t="shared" si="19"/>
        <v/>
      </c>
      <c r="BY19" t="str">
        <f t="shared" si="20"/>
        <v/>
      </c>
      <c r="BZ19" t="str">
        <f t="shared" si="21"/>
        <v/>
      </c>
      <c r="CA19" t="str">
        <f t="shared" si="22"/>
        <v/>
      </c>
      <c r="CB19" t="str">
        <f t="shared" si="23"/>
        <v/>
      </c>
      <c r="CC19" t="str">
        <f t="shared" si="24"/>
        <v/>
      </c>
      <c r="CD19" t="str">
        <f t="shared" si="25"/>
        <v/>
      </c>
    </row>
    <row r="20" spans="1:82" ht="33.6" customHeight="1" x14ac:dyDescent="0.3">
      <c r="A20" s="4"/>
      <c r="B20" s="4"/>
      <c r="C20" s="4"/>
      <c r="D20" s="5"/>
      <c r="E20" s="6"/>
      <c r="F20" s="5"/>
      <c r="G20" s="6"/>
      <c r="H20" s="5"/>
      <c r="I20" s="21"/>
      <c r="J20" s="5"/>
      <c r="K20" s="6"/>
      <c r="L20" s="5"/>
      <c r="M20" s="6"/>
      <c r="N20" s="5"/>
      <c r="O20" s="6"/>
      <c r="P20" s="5"/>
      <c r="Q20" s="6"/>
      <c r="R20" s="5"/>
      <c r="S20" s="6"/>
      <c r="T20" s="5"/>
      <c r="U20" s="21"/>
      <c r="V20" s="5"/>
      <c r="W20" s="6"/>
      <c r="X20" s="5"/>
      <c r="Y20" s="6"/>
      <c r="Z20" s="5"/>
      <c r="AA20" s="6"/>
      <c r="AB20" s="5"/>
      <c r="AC20" s="6"/>
      <c r="AD20" s="5"/>
      <c r="AE20" s="6"/>
      <c r="AF20" s="5"/>
      <c r="AG20" s="21"/>
      <c r="AH20" s="5"/>
      <c r="AI20" s="6"/>
      <c r="AJ20" s="5"/>
      <c r="AK20" s="6"/>
      <c r="AL20" s="5"/>
      <c r="AM20" s="21"/>
      <c r="AN20" s="5"/>
      <c r="AO20" s="6"/>
      <c r="AP20" s="5"/>
      <c r="AQ20" s="6"/>
      <c r="AR20" s="5"/>
      <c r="AS20" s="21"/>
      <c r="AT20" s="5"/>
      <c r="AU20" s="6"/>
      <c r="AV20" s="5"/>
      <c r="AW20" s="6"/>
      <c r="AX20" s="5"/>
      <c r="AY20" s="21"/>
      <c r="AZ20" s="6"/>
      <c r="BA20" s="6"/>
      <c r="BB20" s="6"/>
      <c r="BC20" s="7" t="str">
        <f t="shared" si="0"/>
        <v/>
      </c>
      <c r="BD20" s="7" t="str">
        <f t="shared" si="1"/>
        <v/>
      </c>
      <c r="BE20" s="4"/>
      <c r="BF20" s="16"/>
      <c r="BG20" s="16" t="str">
        <f t="shared" si="2"/>
        <v/>
      </c>
      <c r="BH20" s="16" t="str">
        <f t="shared" si="3"/>
        <v/>
      </c>
      <c r="BI20" s="16" t="str">
        <f t="shared" si="4"/>
        <v/>
      </c>
      <c r="BJ20" s="16" t="str">
        <f t="shared" si="5"/>
        <v/>
      </c>
      <c r="BK20" t="str">
        <f t="shared" si="6"/>
        <v/>
      </c>
      <c r="BL20" t="str">
        <f t="shared" si="7"/>
        <v/>
      </c>
      <c r="BM20" t="str">
        <f t="shared" si="8"/>
        <v/>
      </c>
      <c r="BN20" t="str">
        <f t="shared" si="9"/>
        <v/>
      </c>
      <c r="BO20" t="str">
        <f t="shared" si="10"/>
        <v/>
      </c>
      <c r="BP20" t="str">
        <f t="shared" si="11"/>
        <v/>
      </c>
      <c r="BQ20" t="str">
        <f t="shared" si="12"/>
        <v/>
      </c>
      <c r="BR20" t="str">
        <f t="shared" si="13"/>
        <v/>
      </c>
      <c r="BS20" t="str">
        <f t="shared" si="14"/>
        <v/>
      </c>
      <c r="BT20" t="str">
        <f t="shared" si="15"/>
        <v/>
      </c>
      <c r="BU20" t="str">
        <f t="shared" si="16"/>
        <v/>
      </c>
      <c r="BV20" t="str">
        <f t="shared" si="17"/>
        <v/>
      </c>
      <c r="BW20" t="str">
        <f t="shared" si="18"/>
        <v/>
      </c>
      <c r="BX20" t="str">
        <f t="shared" si="19"/>
        <v/>
      </c>
      <c r="BY20" t="str">
        <f t="shared" si="20"/>
        <v/>
      </c>
      <c r="BZ20" t="str">
        <f t="shared" si="21"/>
        <v/>
      </c>
      <c r="CA20" t="str">
        <f t="shared" si="22"/>
        <v/>
      </c>
      <c r="CB20" t="str">
        <f t="shared" si="23"/>
        <v/>
      </c>
      <c r="CC20" t="str">
        <f t="shared" si="24"/>
        <v/>
      </c>
      <c r="CD20" t="str">
        <f t="shared" si="25"/>
        <v/>
      </c>
    </row>
    <row r="21" spans="1:82" ht="33.6" customHeight="1" x14ac:dyDescent="0.3">
      <c r="A21" s="4"/>
      <c r="B21" s="4"/>
      <c r="C21" s="4"/>
      <c r="D21" s="5"/>
      <c r="E21" s="6"/>
      <c r="F21" s="5"/>
      <c r="G21" s="6"/>
      <c r="H21" s="5"/>
      <c r="I21" s="21"/>
      <c r="J21" s="5"/>
      <c r="K21" s="6"/>
      <c r="L21" s="5"/>
      <c r="M21" s="6"/>
      <c r="N21" s="5"/>
      <c r="O21" s="6"/>
      <c r="P21" s="5"/>
      <c r="Q21" s="6"/>
      <c r="R21" s="5"/>
      <c r="S21" s="6"/>
      <c r="T21" s="5"/>
      <c r="U21" s="21"/>
      <c r="V21" s="5"/>
      <c r="W21" s="6"/>
      <c r="X21" s="5"/>
      <c r="Y21" s="6"/>
      <c r="Z21" s="5"/>
      <c r="AA21" s="6"/>
      <c r="AB21" s="5"/>
      <c r="AC21" s="6"/>
      <c r="AD21" s="5"/>
      <c r="AE21" s="6"/>
      <c r="AF21" s="5"/>
      <c r="AG21" s="21"/>
      <c r="AH21" s="5"/>
      <c r="AI21" s="6"/>
      <c r="AJ21" s="5"/>
      <c r="AK21" s="6"/>
      <c r="AL21" s="5"/>
      <c r="AM21" s="21"/>
      <c r="AN21" s="5"/>
      <c r="AO21" s="6"/>
      <c r="AP21" s="5"/>
      <c r="AQ21" s="6"/>
      <c r="AR21" s="5"/>
      <c r="AS21" s="21"/>
      <c r="AT21" s="5"/>
      <c r="AU21" s="6"/>
      <c r="AV21" s="5"/>
      <c r="AW21" s="6"/>
      <c r="AX21" s="5"/>
      <c r="AY21" s="21"/>
      <c r="AZ21" s="6"/>
      <c r="BA21" s="6"/>
      <c r="BB21" s="6"/>
      <c r="BC21" s="7" t="str">
        <f t="shared" si="0"/>
        <v/>
      </c>
      <c r="BD21" s="7" t="str">
        <f t="shared" si="1"/>
        <v/>
      </c>
      <c r="BE21" s="4"/>
      <c r="BF21" s="16"/>
      <c r="BG21" s="16" t="str">
        <f t="shared" si="2"/>
        <v/>
      </c>
      <c r="BH21" s="16" t="str">
        <f t="shared" si="3"/>
        <v/>
      </c>
      <c r="BI21" s="16" t="str">
        <f t="shared" si="4"/>
        <v/>
      </c>
      <c r="BJ21" s="16" t="str">
        <f t="shared" si="5"/>
        <v/>
      </c>
      <c r="BK21" t="str">
        <f t="shared" si="6"/>
        <v/>
      </c>
      <c r="BL21" t="str">
        <f t="shared" si="7"/>
        <v/>
      </c>
      <c r="BM21" t="str">
        <f t="shared" si="8"/>
        <v/>
      </c>
      <c r="BN21" t="str">
        <f t="shared" si="9"/>
        <v/>
      </c>
      <c r="BO21" t="str">
        <f t="shared" si="10"/>
        <v/>
      </c>
      <c r="BP21" t="str">
        <f t="shared" si="11"/>
        <v/>
      </c>
      <c r="BQ21" t="str">
        <f t="shared" si="12"/>
        <v/>
      </c>
      <c r="BR21" t="str">
        <f t="shared" si="13"/>
        <v/>
      </c>
      <c r="BS21" t="str">
        <f t="shared" si="14"/>
        <v/>
      </c>
      <c r="BT21" t="str">
        <f t="shared" si="15"/>
        <v/>
      </c>
      <c r="BU21" t="str">
        <f t="shared" si="16"/>
        <v/>
      </c>
      <c r="BV21" t="str">
        <f t="shared" si="17"/>
        <v/>
      </c>
      <c r="BW21" t="str">
        <f t="shared" si="18"/>
        <v/>
      </c>
      <c r="BX21" t="str">
        <f t="shared" si="19"/>
        <v/>
      </c>
      <c r="BY21" t="str">
        <f t="shared" si="20"/>
        <v/>
      </c>
      <c r="BZ21" t="str">
        <f t="shared" si="21"/>
        <v/>
      </c>
      <c r="CA21" t="str">
        <f t="shared" si="22"/>
        <v/>
      </c>
      <c r="CB21" t="str">
        <f t="shared" si="23"/>
        <v/>
      </c>
      <c r="CC21" t="str">
        <f t="shared" si="24"/>
        <v/>
      </c>
      <c r="CD21" t="str">
        <f t="shared" si="25"/>
        <v/>
      </c>
    </row>
    <row r="22" spans="1:82" ht="33.6" customHeight="1" x14ac:dyDescent="0.3">
      <c r="A22" s="4"/>
      <c r="B22" s="4"/>
      <c r="C22" s="4"/>
      <c r="D22" s="5"/>
      <c r="E22" s="6"/>
      <c r="F22" s="5"/>
      <c r="G22" s="6"/>
      <c r="H22" s="5"/>
      <c r="I22" s="21"/>
      <c r="J22" s="5"/>
      <c r="K22" s="6"/>
      <c r="L22" s="5"/>
      <c r="M22" s="6"/>
      <c r="N22" s="5"/>
      <c r="O22" s="6"/>
      <c r="P22" s="5"/>
      <c r="Q22" s="6"/>
      <c r="R22" s="5"/>
      <c r="S22" s="6"/>
      <c r="T22" s="5"/>
      <c r="U22" s="21"/>
      <c r="V22" s="5"/>
      <c r="W22" s="6"/>
      <c r="X22" s="5"/>
      <c r="Y22" s="6"/>
      <c r="Z22" s="5"/>
      <c r="AA22" s="6"/>
      <c r="AB22" s="5"/>
      <c r="AC22" s="6"/>
      <c r="AD22" s="5"/>
      <c r="AE22" s="6"/>
      <c r="AF22" s="5"/>
      <c r="AG22" s="21"/>
      <c r="AH22" s="5"/>
      <c r="AI22" s="6"/>
      <c r="AJ22" s="5"/>
      <c r="AK22" s="6"/>
      <c r="AL22" s="5"/>
      <c r="AM22" s="21"/>
      <c r="AN22" s="5"/>
      <c r="AO22" s="6"/>
      <c r="AP22" s="5"/>
      <c r="AQ22" s="6"/>
      <c r="AR22" s="5"/>
      <c r="AS22" s="21"/>
      <c r="AT22" s="5"/>
      <c r="AU22" s="6"/>
      <c r="AV22" s="5"/>
      <c r="AW22" s="6"/>
      <c r="AX22" s="5"/>
      <c r="AY22" s="21"/>
      <c r="AZ22" s="6"/>
      <c r="BA22" s="6"/>
      <c r="BB22" s="6"/>
      <c r="BC22" s="7" t="str">
        <f t="shared" si="0"/>
        <v/>
      </c>
      <c r="BD22" s="7" t="str">
        <f t="shared" si="1"/>
        <v/>
      </c>
      <c r="BE22" s="4"/>
      <c r="BF22" s="16"/>
      <c r="BG22" s="16" t="str">
        <f t="shared" si="2"/>
        <v/>
      </c>
      <c r="BH22" s="16" t="str">
        <f t="shared" si="3"/>
        <v/>
      </c>
      <c r="BI22" s="16" t="str">
        <f t="shared" si="4"/>
        <v/>
      </c>
      <c r="BJ22" s="16" t="str">
        <f t="shared" si="5"/>
        <v/>
      </c>
      <c r="BK22" t="str">
        <f t="shared" si="6"/>
        <v/>
      </c>
      <c r="BL22" t="str">
        <f t="shared" si="7"/>
        <v/>
      </c>
      <c r="BM22" t="str">
        <f t="shared" si="8"/>
        <v/>
      </c>
      <c r="BN22" t="str">
        <f t="shared" si="9"/>
        <v/>
      </c>
      <c r="BO22" t="str">
        <f t="shared" si="10"/>
        <v/>
      </c>
      <c r="BP22" t="str">
        <f t="shared" si="11"/>
        <v/>
      </c>
      <c r="BQ22" t="str">
        <f t="shared" si="12"/>
        <v/>
      </c>
      <c r="BR22" t="str">
        <f t="shared" si="13"/>
        <v/>
      </c>
      <c r="BS22" t="str">
        <f t="shared" si="14"/>
        <v/>
      </c>
      <c r="BT22" t="str">
        <f t="shared" si="15"/>
        <v/>
      </c>
      <c r="BU22" t="str">
        <f t="shared" si="16"/>
        <v/>
      </c>
      <c r="BV22" t="str">
        <f t="shared" si="17"/>
        <v/>
      </c>
      <c r="BW22" t="str">
        <f t="shared" si="18"/>
        <v/>
      </c>
      <c r="BX22" t="str">
        <f t="shared" si="19"/>
        <v/>
      </c>
      <c r="BY22" t="str">
        <f t="shared" si="20"/>
        <v/>
      </c>
      <c r="BZ22" t="str">
        <f t="shared" si="21"/>
        <v/>
      </c>
      <c r="CA22" t="str">
        <f t="shared" si="22"/>
        <v/>
      </c>
      <c r="CB22" t="str">
        <f t="shared" si="23"/>
        <v/>
      </c>
      <c r="CC22" t="str">
        <f t="shared" si="24"/>
        <v/>
      </c>
      <c r="CD22" t="str">
        <f t="shared" si="25"/>
        <v/>
      </c>
    </row>
    <row r="23" spans="1:82" ht="33.6" customHeight="1" x14ac:dyDescent="0.3">
      <c r="A23" s="4"/>
      <c r="B23" s="4"/>
      <c r="C23" s="4"/>
      <c r="D23" s="5"/>
      <c r="E23" s="6"/>
      <c r="F23" s="5"/>
      <c r="G23" s="6"/>
      <c r="H23" s="5"/>
      <c r="I23" s="21"/>
      <c r="J23" s="5"/>
      <c r="K23" s="6"/>
      <c r="L23" s="5"/>
      <c r="M23" s="6"/>
      <c r="N23" s="5"/>
      <c r="O23" s="6"/>
      <c r="P23" s="5"/>
      <c r="Q23" s="6"/>
      <c r="R23" s="5"/>
      <c r="S23" s="6"/>
      <c r="T23" s="5"/>
      <c r="U23" s="21"/>
      <c r="V23" s="5"/>
      <c r="W23" s="6"/>
      <c r="X23" s="5"/>
      <c r="Y23" s="6"/>
      <c r="Z23" s="5"/>
      <c r="AA23" s="6"/>
      <c r="AB23" s="5"/>
      <c r="AC23" s="6"/>
      <c r="AD23" s="5"/>
      <c r="AE23" s="6"/>
      <c r="AF23" s="5"/>
      <c r="AG23" s="21"/>
      <c r="AH23" s="5"/>
      <c r="AI23" s="6"/>
      <c r="AJ23" s="5"/>
      <c r="AK23" s="6"/>
      <c r="AL23" s="5"/>
      <c r="AM23" s="21"/>
      <c r="AN23" s="5"/>
      <c r="AO23" s="6"/>
      <c r="AP23" s="5"/>
      <c r="AQ23" s="6"/>
      <c r="AR23" s="5"/>
      <c r="AS23" s="21"/>
      <c r="AT23" s="5"/>
      <c r="AU23" s="6"/>
      <c r="AV23" s="5"/>
      <c r="AW23" s="6"/>
      <c r="AX23" s="5"/>
      <c r="AY23" s="21"/>
      <c r="AZ23" s="6"/>
      <c r="BA23" s="6"/>
      <c r="BB23" s="6"/>
      <c r="BC23" s="7" t="str">
        <f t="shared" si="0"/>
        <v/>
      </c>
      <c r="BD23" s="7" t="str">
        <f t="shared" si="1"/>
        <v/>
      </c>
      <c r="BE23" s="4"/>
      <c r="BF23" s="16"/>
      <c r="BG23" s="16" t="str">
        <f t="shared" si="2"/>
        <v/>
      </c>
      <c r="BH23" s="16" t="str">
        <f t="shared" si="3"/>
        <v/>
      </c>
      <c r="BI23" s="16" t="str">
        <f t="shared" si="4"/>
        <v/>
      </c>
      <c r="BJ23" s="16" t="str">
        <f t="shared" si="5"/>
        <v/>
      </c>
      <c r="BK23" t="str">
        <f t="shared" si="6"/>
        <v/>
      </c>
      <c r="BL23" t="str">
        <f t="shared" si="7"/>
        <v/>
      </c>
      <c r="BM23" t="str">
        <f t="shared" si="8"/>
        <v/>
      </c>
      <c r="BN23" t="str">
        <f t="shared" si="9"/>
        <v/>
      </c>
      <c r="BO23" t="str">
        <f t="shared" si="10"/>
        <v/>
      </c>
      <c r="BP23" t="str">
        <f t="shared" si="11"/>
        <v/>
      </c>
      <c r="BQ23" t="str">
        <f t="shared" si="12"/>
        <v/>
      </c>
      <c r="BR23" t="str">
        <f t="shared" si="13"/>
        <v/>
      </c>
      <c r="BS23" t="str">
        <f t="shared" si="14"/>
        <v/>
      </c>
      <c r="BT23" t="str">
        <f t="shared" si="15"/>
        <v/>
      </c>
      <c r="BU23" t="str">
        <f t="shared" si="16"/>
        <v/>
      </c>
      <c r="BV23" t="str">
        <f t="shared" si="17"/>
        <v/>
      </c>
      <c r="BW23" t="str">
        <f t="shared" si="18"/>
        <v/>
      </c>
      <c r="BX23" t="str">
        <f t="shared" si="19"/>
        <v/>
      </c>
      <c r="BY23" t="str">
        <f t="shared" si="20"/>
        <v/>
      </c>
      <c r="BZ23" t="str">
        <f t="shared" si="21"/>
        <v/>
      </c>
      <c r="CA23" t="str">
        <f t="shared" si="22"/>
        <v/>
      </c>
      <c r="CB23" t="str">
        <f t="shared" si="23"/>
        <v/>
      </c>
      <c r="CC23" t="str">
        <f t="shared" si="24"/>
        <v/>
      </c>
      <c r="CD23" t="str">
        <f t="shared" si="25"/>
        <v/>
      </c>
    </row>
    <row r="24" spans="1:82" ht="33.6" customHeight="1" x14ac:dyDescent="0.3">
      <c r="A24" s="4"/>
      <c r="B24" s="4"/>
      <c r="C24" s="4"/>
      <c r="D24" s="5"/>
      <c r="E24" s="6"/>
      <c r="F24" s="5"/>
      <c r="G24" s="6"/>
      <c r="H24" s="5"/>
      <c r="I24" s="21"/>
      <c r="J24" s="5"/>
      <c r="K24" s="6"/>
      <c r="L24" s="5"/>
      <c r="M24" s="6"/>
      <c r="N24" s="5"/>
      <c r="O24" s="6"/>
      <c r="P24" s="5"/>
      <c r="Q24" s="6"/>
      <c r="R24" s="5"/>
      <c r="S24" s="6"/>
      <c r="T24" s="5"/>
      <c r="U24" s="21"/>
      <c r="V24" s="5"/>
      <c r="W24" s="6"/>
      <c r="X24" s="5"/>
      <c r="Y24" s="6"/>
      <c r="Z24" s="5"/>
      <c r="AA24" s="6"/>
      <c r="AB24" s="5"/>
      <c r="AC24" s="6"/>
      <c r="AD24" s="5"/>
      <c r="AE24" s="6"/>
      <c r="AF24" s="5"/>
      <c r="AG24" s="21"/>
      <c r="AH24" s="5"/>
      <c r="AI24" s="6"/>
      <c r="AJ24" s="5"/>
      <c r="AK24" s="6"/>
      <c r="AL24" s="5"/>
      <c r="AM24" s="21"/>
      <c r="AN24" s="5"/>
      <c r="AO24" s="6"/>
      <c r="AP24" s="5"/>
      <c r="AQ24" s="6"/>
      <c r="AR24" s="5"/>
      <c r="AS24" s="21"/>
      <c r="AT24" s="5"/>
      <c r="AU24" s="6"/>
      <c r="AV24" s="5"/>
      <c r="AW24" s="6"/>
      <c r="AX24" s="5"/>
      <c r="AY24" s="21"/>
      <c r="AZ24" s="6"/>
      <c r="BA24" s="6"/>
      <c r="BB24" s="6"/>
      <c r="BC24" s="7" t="str">
        <f t="shared" si="0"/>
        <v/>
      </c>
      <c r="BD24" s="7" t="str">
        <f t="shared" si="1"/>
        <v/>
      </c>
      <c r="BE24" s="4"/>
      <c r="BF24" s="16"/>
      <c r="BG24" s="16" t="str">
        <f t="shared" si="2"/>
        <v/>
      </c>
      <c r="BH24" s="16" t="str">
        <f t="shared" si="3"/>
        <v/>
      </c>
      <c r="BI24" s="16" t="str">
        <f t="shared" si="4"/>
        <v/>
      </c>
      <c r="BJ24" s="16" t="str">
        <f t="shared" si="5"/>
        <v/>
      </c>
      <c r="BK24" t="str">
        <f t="shared" si="6"/>
        <v/>
      </c>
      <c r="BL24" t="str">
        <f t="shared" si="7"/>
        <v/>
      </c>
      <c r="BM24" t="str">
        <f t="shared" si="8"/>
        <v/>
      </c>
      <c r="BN24" t="str">
        <f t="shared" si="9"/>
        <v/>
      </c>
      <c r="BO24" t="str">
        <f t="shared" si="10"/>
        <v/>
      </c>
      <c r="BP24" t="str">
        <f t="shared" si="11"/>
        <v/>
      </c>
      <c r="BQ24" t="str">
        <f t="shared" si="12"/>
        <v/>
      </c>
      <c r="BR24" t="str">
        <f t="shared" si="13"/>
        <v/>
      </c>
      <c r="BS24" t="str">
        <f t="shared" si="14"/>
        <v/>
      </c>
      <c r="BT24" t="str">
        <f t="shared" si="15"/>
        <v/>
      </c>
      <c r="BU24" t="str">
        <f t="shared" si="16"/>
        <v/>
      </c>
      <c r="BV24" t="str">
        <f t="shared" si="17"/>
        <v/>
      </c>
      <c r="BW24" t="str">
        <f t="shared" si="18"/>
        <v/>
      </c>
      <c r="BX24" t="str">
        <f t="shared" si="19"/>
        <v/>
      </c>
      <c r="BY24" t="str">
        <f t="shared" si="20"/>
        <v/>
      </c>
      <c r="BZ24" t="str">
        <f t="shared" si="21"/>
        <v/>
      </c>
      <c r="CA24" t="str">
        <f t="shared" si="22"/>
        <v/>
      </c>
      <c r="CB24" t="str">
        <f t="shared" si="23"/>
        <v/>
      </c>
      <c r="CC24" t="str">
        <f t="shared" si="24"/>
        <v/>
      </c>
      <c r="CD24" t="str">
        <f t="shared" si="25"/>
        <v/>
      </c>
    </row>
    <row r="25" spans="1:82" ht="33.6" customHeight="1" x14ac:dyDescent="0.3">
      <c r="A25" s="4"/>
      <c r="B25" s="4"/>
      <c r="C25" s="4"/>
      <c r="D25" s="5"/>
      <c r="E25" s="6"/>
      <c r="F25" s="5"/>
      <c r="G25" s="6"/>
      <c r="H25" s="5"/>
      <c r="I25" s="21"/>
      <c r="J25" s="5"/>
      <c r="K25" s="6"/>
      <c r="L25" s="5"/>
      <c r="M25" s="6"/>
      <c r="N25" s="5"/>
      <c r="O25" s="6"/>
      <c r="P25" s="5"/>
      <c r="Q25" s="6"/>
      <c r="R25" s="5"/>
      <c r="S25" s="6"/>
      <c r="T25" s="5"/>
      <c r="U25" s="21"/>
      <c r="V25" s="5"/>
      <c r="W25" s="6"/>
      <c r="X25" s="5"/>
      <c r="Y25" s="6"/>
      <c r="Z25" s="5"/>
      <c r="AA25" s="6"/>
      <c r="AB25" s="5"/>
      <c r="AC25" s="6"/>
      <c r="AD25" s="5"/>
      <c r="AE25" s="6"/>
      <c r="AF25" s="5"/>
      <c r="AG25" s="21"/>
      <c r="AH25" s="5"/>
      <c r="AI25" s="6"/>
      <c r="AJ25" s="5"/>
      <c r="AK25" s="6"/>
      <c r="AL25" s="5"/>
      <c r="AM25" s="21"/>
      <c r="AN25" s="5"/>
      <c r="AO25" s="6"/>
      <c r="AP25" s="5"/>
      <c r="AQ25" s="6"/>
      <c r="AR25" s="5"/>
      <c r="AS25" s="21"/>
      <c r="AT25" s="5"/>
      <c r="AU25" s="6"/>
      <c r="AV25" s="5"/>
      <c r="AW25" s="6"/>
      <c r="AX25" s="5"/>
      <c r="AY25" s="21"/>
      <c r="AZ25" s="6"/>
      <c r="BA25" s="6"/>
      <c r="BB25" s="6"/>
      <c r="BC25" s="7" t="str">
        <f t="shared" si="0"/>
        <v/>
      </c>
      <c r="BD25" s="7" t="str">
        <f t="shared" si="1"/>
        <v/>
      </c>
      <c r="BE25" s="4"/>
      <c r="BF25" s="16"/>
      <c r="BG25" s="16" t="str">
        <f t="shared" si="2"/>
        <v/>
      </c>
      <c r="BH25" s="16" t="str">
        <f t="shared" si="3"/>
        <v/>
      </c>
      <c r="BI25" s="16" t="str">
        <f t="shared" si="4"/>
        <v/>
      </c>
      <c r="BJ25" s="16" t="str">
        <f t="shared" si="5"/>
        <v/>
      </c>
      <c r="BK25" t="str">
        <f t="shared" si="6"/>
        <v/>
      </c>
      <c r="BL25" t="str">
        <f t="shared" si="7"/>
        <v/>
      </c>
      <c r="BM25" t="str">
        <f t="shared" si="8"/>
        <v/>
      </c>
      <c r="BN25" t="str">
        <f t="shared" si="9"/>
        <v/>
      </c>
      <c r="BO25" t="str">
        <f t="shared" si="10"/>
        <v/>
      </c>
      <c r="BP25" t="str">
        <f t="shared" si="11"/>
        <v/>
      </c>
      <c r="BQ25" t="str">
        <f t="shared" si="12"/>
        <v/>
      </c>
      <c r="BR25" t="str">
        <f t="shared" si="13"/>
        <v/>
      </c>
      <c r="BS25" t="str">
        <f t="shared" si="14"/>
        <v/>
      </c>
      <c r="BT25" t="str">
        <f t="shared" si="15"/>
        <v/>
      </c>
      <c r="BU25" t="str">
        <f t="shared" si="16"/>
        <v/>
      </c>
      <c r="BV25" t="str">
        <f t="shared" si="17"/>
        <v/>
      </c>
      <c r="BW25" t="str">
        <f t="shared" si="18"/>
        <v/>
      </c>
      <c r="BX25" t="str">
        <f t="shared" si="19"/>
        <v/>
      </c>
      <c r="BY25" t="str">
        <f t="shared" si="20"/>
        <v/>
      </c>
      <c r="BZ25" t="str">
        <f t="shared" si="21"/>
        <v/>
      </c>
      <c r="CA25" t="str">
        <f t="shared" si="22"/>
        <v/>
      </c>
      <c r="CB25" t="str">
        <f t="shared" si="23"/>
        <v/>
      </c>
      <c r="CC25" t="str">
        <f t="shared" si="24"/>
        <v/>
      </c>
      <c r="CD25" t="str">
        <f t="shared" si="25"/>
        <v/>
      </c>
    </row>
    <row r="26" spans="1:82" ht="33.6" customHeight="1" x14ac:dyDescent="0.3">
      <c r="A26" s="4"/>
      <c r="B26" s="4"/>
      <c r="C26" s="4"/>
      <c r="D26" s="5"/>
      <c r="E26" s="6"/>
      <c r="F26" s="5"/>
      <c r="G26" s="6"/>
      <c r="H26" s="5"/>
      <c r="I26" s="21"/>
      <c r="J26" s="5"/>
      <c r="K26" s="6"/>
      <c r="L26" s="5"/>
      <c r="M26" s="6"/>
      <c r="N26" s="5"/>
      <c r="O26" s="6"/>
      <c r="P26" s="5"/>
      <c r="Q26" s="6"/>
      <c r="R26" s="5"/>
      <c r="S26" s="6"/>
      <c r="T26" s="5"/>
      <c r="U26" s="21"/>
      <c r="V26" s="5"/>
      <c r="W26" s="6"/>
      <c r="X26" s="5"/>
      <c r="Y26" s="6"/>
      <c r="Z26" s="5"/>
      <c r="AA26" s="6"/>
      <c r="AB26" s="5"/>
      <c r="AC26" s="6"/>
      <c r="AD26" s="5"/>
      <c r="AE26" s="6"/>
      <c r="AF26" s="5"/>
      <c r="AG26" s="21"/>
      <c r="AH26" s="5"/>
      <c r="AI26" s="6"/>
      <c r="AJ26" s="5"/>
      <c r="AK26" s="6"/>
      <c r="AL26" s="5"/>
      <c r="AM26" s="21"/>
      <c r="AN26" s="5"/>
      <c r="AO26" s="6"/>
      <c r="AP26" s="5"/>
      <c r="AQ26" s="6"/>
      <c r="AR26" s="5"/>
      <c r="AS26" s="21"/>
      <c r="AT26" s="5"/>
      <c r="AU26" s="6"/>
      <c r="AV26" s="5"/>
      <c r="AW26" s="6"/>
      <c r="AX26" s="5"/>
      <c r="AY26" s="21"/>
      <c r="AZ26" s="6"/>
      <c r="BA26" s="6"/>
      <c r="BB26" s="6"/>
      <c r="BC26" s="7" t="str">
        <f t="shared" si="0"/>
        <v/>
      </c>
      <c r="BD26" s="7" t="str">
        <f t="shared" si="1"/>
        <v/>
      </c>
      <c r="BE26" s="4"/>
      <c r="BF26" s="16"/>
      <c r="BG26" s="16" t="str">
        <f t="shared" si="2"/>
        <v/>
      </c>
      <c r="BH26" s="16" t="str">
        <f t="shared" si="3"/>
        <v/>
      </c>
      <c r="BI26" s="16" t="str">
        <f t="shared" si="4"/>
        <v/>
      </c>
      <c r="BJ26" s="16" t="str">
        <f t="shared" si="5"/>
        <v/>
      </c>
      <c r="BK26" t="str">
        <f t="shared" si="6"/>
        <v/>
      </c>
      <c r="BL26" t="str">
        <f t="shared" si="7"/>
        <v/>
      </c>
      <c r="BM26" t="str">
        <f t="shared" si="8"/>
        <v/>
      </c>
      <c r="BN26" t="str">
        <f t="shared" si="9"/>
        <v/>
      </c>
      <c r="BO26" t="str">
        <f t="shared" si="10"/>
        <v/>
      </c>
      <c r="BP26" t="str">
        <f t="shared" si="11"/>
        <v/>
      </c>
      <c r="BQ26" t="str">
        <f t="shared" si="12"/>
        <v/>
      </c>
      <c r="BR26" t="str">
        <f t="shared" si="13"/>
        <v/>
      </c>
      <c r="BS26" t="str">
        <f t="shared" si="14"/>
        <v/>
      </c>
      <c r="BT26" t="str">
        <f t="shared" si="15"/>
        <v/>
      </c>
      <c r="BU26" t="str">
        <f t="shared" si="16"/>
        <v/>
      </c>
      <c r="BV26" t="str">
        <f t="shared" si="17"/>
        <v/>
      </c>
      <c r="BW26" t="str">
        <f t="shared" si="18"/>
        <v/>
      </c>
      <c r="BX26" t="str">
        <f t="shared" si="19"/>
        <v/>
      </c>
      <c r="BY26" t="str">
        <f t="shared" si="20"/>
        <v/>
      </c>
      <c r="BZ26" t="str">
        <f t="shared" si="21"/>
        <v/>
      </c>
      <c r="CA26" t="str">
        <f t="shared" si="22"/>
        <v/>
      </c>
      <c r="CB26" t="str">
        <f t="shared" si="23"/>
        <v/>
      </c>
      <c r="CC26" t="str">
        <f t="shared" si="24"/>
        <v/>
      </c>
      <c r="CD26" t="str">
        <f t="shared" si="25"/>
        <v/>
      </c>
    </row>
    <row r="27" spans="1:82" ht="33.6" customHeight="1" x14ac:dyDescent="0.3">
      <c r="A27" s="4"/>
      <c r="B27" s="4"/>
      <c r="C27" s="4"/>
      <c r="D27" s="5"/>
      <c r="E27" s="6"/>
      <c r="F27" s="5"/>
      <c r="G27" s="6"/>
      <c r="H27" s="5"/>
      <c r="I27" s="21"/>
      <c r="J27" s="5"/>
      <c r="K27" s="6"/>
      <c r="L27" s="5"/>
      <c r="M27" s="6"/>
      <c r="N27" s="5"/>
      <c r="O27" s="6"/>
      <c r="P27" s="5"/>
      <c r="Q27" s="6"/>
      <c r="R27" s="5"/>
      <c r="S27" s="6"/>
      <c r="T27" s="5"/>
      <c r="U27" s="21"/>
      <c r="V27" s="5"/>
      <c r="W27" s="6"/>
      <c r="X27" s="5"/>
      <c r="Y27" s="6"/>
      <c r="Z27" s="5"/>
      <c r="AA27" s="6"/>
      <c r="AB27" s="5"/>
      <c r="AC27" s="6"/>
      <c r="AD27" s="5"/>
      <c r="AE27" s="6"/>
      <c r="AF27" s="5"/>
      <c r="AG27" s="21"/>
      <c r="AH27" s="5"/>
      <c r="AI27" s="6"/>
      <c r="AJ27" s="5"/>
      <c r="AK27" s="6"/>
      <c r="AL27" s="5"/>
      <c r="AM27" s="21"/>
      <c r="AN27" s="5"/>
      <c r="AO27" s="6"/>
      <c r="AP27" s="5"/>
      <c r="AQ27" s="6"/>
      <c r="AR27" s="5"/>
      <c r="AS27" s="21"/>
      <c r="AT27" s="5"/>
      <c r="AU27" s="6"/>
      <c r="AV27" s="5"/>
      <c r="AW27" s="6"/>
      <c r="AX27" s="5"/>
      <c r="AY27" s="21"/>
      <c r="AZ27" s="6"/>
      <c r="BA27" s="6"/>
      <c r="BB27" s="6"/>
      <c r="BC27" s="7" t="str">
        <f t="shared" si="0"/>
        <v/>
      </c>
      <c r="BD27" s="7" t="str">
        <f t="shared" si="1"/>
        <v/>
      </c>
      <c r="BE27" s="4"/>
      <c r="BF27" s="16"/>
      <c r="BG27" s="16" t="str">
        <f t="shared" si="2"/>
        <v/>
      </c>
      <c r="BH27" s="16" t="str">
        <f t="shared" si="3"/>
        <v/>
      </c>
      <c r="BI27" s="16" t="str">
        <f t="shared" si="4"/>
        <v/>
      </c>
      <c r="BJ27" s="16" t="str">
        <f t="shared" si="5"/>
        <v/>
      </c>
      <c r="BK27" t="str">
        <f t="shared" si="6"/>
        <v/>
      </c>
      <c r="BL27" t="str">
        <f t="shared" si="7"/>
        <v/>
      </c>
      <c r="BM27" t="str">
        <f t="shared" si="8"/>
        <v/>
      </c>
      <c r="BN27" t="str">
        <f t="shared" si="9"/>
        <v/>
      </c>
      <c r="BO27" t="str">
        <f t="shared" si="10"/>
        <v/>
      </c>
      <c r="BP27" t="str">
        <f t="shared" si="11"/>
        <v/>
      </c>
      <c r="BQ27" t="str">
        <f t="shared" si="12"/>
        <v/>
      </c>
      <c r="BR27" t="str">
        <f t="shared" si="13"/>
        <v/>
      </c>
      <c r="BS27" t="str">
        <f t="shared" si="14"/>
        <v/>
      </c>
      <c r="BT27" t="str">
        <f t="shared" si="15"/>
        <v/>
      </c>
      <c r="BU27" t="str">
        <f t="shared" si="16"/>
        <v/>
      </c>
      <c r="BV27" t="str">
        <f t="shared" si="17"/>
        <v/>
      </c>
      <c r="BW27" t="str">
        <f t="shared" si="18"/>
        <v/>
      </c>
      <c r="BX27" t="str">
        <f t="shared" si="19"/>
        <v/>
      </c>
      <c r="BY27" t="str">
        <f t="shared" si="20"/>
        <v/>
      </c>
      <c r="BZ27" t="str">
        <f t="shared" si="21"/>
        <v/>
      </c>
      <c r="CA27" t="str">
        <f t="shared" si="22"/>
        <v/>
      </c>
      <c r="CB27" t="str">
        <f t="shared" si="23"/>
        <v/>
      </c>
      <c r="CC27" t="str">
        <f t="shared" si="24"/>
        <v/>
      </c>
      <c r="CD27" t="str">
        <f t="shared" si="25"/>
        <v/>
      </c>
    </row>
    <row r="28" spans="1:82" ht="33.6" customHeight="1" x14ac:dyDescent="0.3">
      <c r="A28" s="4"/>
      <c r="B28" s="4"/>
      <c r="C28" s="4"/>
      <c r="D28" s="5"/>
      <c r="E28" s="6"/>
      <c r="F28" s="5"/>
      <c r="G28" s="6"/>
      <c r="H28" s="5"/>
      <c r="I28" s="21"/>
      <c r="J28" s="5"/>
      <c r="K28" s="6"/>
      <c r="L28" s="5"/>
      <c r="M28" s="6"/>
      <c r="N28" s="5"/>
      <c r="O28" s="6"/>
      <c r="P28" s="5"/>
      <c r="Q28" s="6"/>
      <c r="R28" s="5"/>
      <c r="S28" s="6"/>
      <c r="T28" s="5"/>
      <c r="U28" s="21"/>
      <c r="V28" s="5"/>
      <c r="W28" s="6"/>
      <c r="X28" s="5"/>
      <c r="Y28" s="6"/>
      <c r="Z28" s="5"/>
      <c r="AA28" s="6"/>
      <c r="AB28" s="5"/>
      <c r="AC28" s="6"/>
      <c r="AD28" s="5"/>
      <c r="AE28" s="6"/>
      <c r="AF28" s="5"/>
      <c r="AG28" s="21"/>
      <c r="AH28" s="5"/>
      <c r="AI28" s="6"/>
      <c r="AJ28" s="5"/>
      <c r="AK28" s="6"/>
      <c r="AL28" s="5"/>
      <c r="AM28" s="21"/>
      <c r="AN28" s="5"/>
      <c r="AO28" s="6"/>
      <c r="AP28" s="5"/>
      <c r="AQ28" s="6"/>
      <c r="AR28" s="5"/>
      <c r="AS28" s="21"/>
      <c r="AT28" s="5"/>
      <c r="AU28" s="6"/>
      <c r="AV28" s="5"/>
      <c r="AW28" s="6"/>
      <c r="AX28" s="5"/>
      <c r="AY28" s="21"/>
      <c r="AZ28" s="6"/>
      <c r="BA28" s="6"/>
      <c r="BB28" s="6"/>
      <c r="BC28" s="7" t="str">
        <f t="shared" si="0"/>
        <v/>
      </c>
      <c r="BD28" s="7" t="str">
        <f t="shared" si="1"/>
        <v/>
      </c>
      <c r="BE28" s="4"/>
      <c r="BF28" s="16"/>
      <c r="BG28" s="16" t="str">
        <f t="shared" si="2"/>
        <v/>
      </c>
      <c r="BH28" s="16" t="str">
        <f t="shared" si="3"/>
        <v/>
      </c>
      <c r="BI28" s="16" t="str">
        <f t="shared" si="4"/>
        <v/>
      </c>
      <c r="BJ28" s="16" t="str">
        <f t="shared" si="5"/>
        <v/>
      </c>
      <c r="BK28" t="str">
        <f t="shared" si="6"/>
        <v/>
      </c>
      <c r="BL28" t="str">
        <f t="shared" si="7"/>
        <v/>
      </c>
      <c r="BM28" t="str">
        <f t="shared" si="8"/>
        <v/>
      </c>
      <c r="BN28" t="str">
        <f t="shared" si="9"/>
        <v/>
      </c>
      <c r="BO28" t="str">
        <f t="shared" si="10"/>
        <v/>
      </c>
      <c r="BP28" t="str">
        <f t="shared" si="11"/>
        <v/>
      </c>
      <c r="BQ28" t="str">
        <f t="shared" si="12"/>
        <v/>
      </c>
      <c r="BR28" t="str">
        <f t="shared" si="13"/>
        <v/>
      </c>
      <c r="BS28" t="str">
        <f t="shared" si="14"/>
        <v/>
      </c>
      <c r="BT28" t="str">
        <f t="shared" si="15"/>
        <v/>
      </c>
      <c r="BU28" t="str">
        <f t="shared" si="16"/>
        <v/>
      </c>
      <c r="BV28" t="str">
        <f t="shared" si="17"/>
        <v/>
      </c>
      <c r="BW28" t="str">
        <f t="shared" si="18"/>
        <v/>
      </c>
      <c r="BX28" t="str">
        <f t="shared" si="19"/>
        <v/>
      </c>
      <c r="BY28" t="str">
        <f t="shared" si="20"/>
        <v/>
      </c>
      <c r="BZ28" t="str">
        <f t="shared" si="21"/>
        <v/>
      </c>
      <c r="CA28" t="str">
        <f t="shared" si="22"/>
        <v/>
      </c>
      <c r="CB28" t="str">
        <f t="shared" si="23"/>
        <v/>
      </c>
      <c r="CC28" t="str">
        <f t="shared" si="24"/>
        <v/>
      </c>
      <c r="CD28" t="str">
        <f t="shared" si="25"/>
        <v/>
      </c>
    </row>
    <row r="29" spans="1:82" ht="33.6" customHeight="1" x14ac:dyDescent="0.3">
      <c r="A29" s="4"/>
      <c r="B29" s="4"/>
      <c r="C29" s="4"/>
      <c r="D29" s="5"/>
      <c r="E29" s="6"/>
      <c r="F29" s="5"/>
      <c r="G29" s="6"/>
      <c r="H29" s="5"/>
      <c r="I29" s="21"/>
      <c r="J29" s="5"/>
      <c r="K29" s="6"/>
      <c r="L29" s="5"/>
      <c r="M29" s="6"/>
      <c r="N29" s="5"/>
      <c r="O29" s="6"/>
      <c r="P29" s="5"/>
      <c r="Q29" s="6"/>
      <c r="R29" s="5"/>
      <c r="S29" s="6"/>
      <c r="T29" s="5"/>
      <c r="U29" s="21"/>
      <c r="V29" s="5"/>
      <c r="W29" s="6"/>
      <c r="X29" s="5"/>
      <c r="Y29" s="6"/>
      <c r="Z29" s="5"/>
      <c r="AA29" s="6"/>
      <c r="AB29" s="5"/>
      <c r="AC29" s="6"/>
      <c r="AD29" s="5"/>
      <c r="AE29" s="6"/>
      <c r="AF29" s="5"/>
      <c r="AG29" s="21"/>
      <c r="AH29" s="5"/>
      <c r="AI29" s="6"/>
      <c r="AJ29" s="5"/>
      <c r="AK29" s="6"/>
      <c r="AL29" s="5"/>
      <c r="AM29" s="21"/>
      <c r="AN29" s="5"/>
      <c r="AO29" s="6"/>
      <c r="AP29" s="5"/>
      <c r="AQ29" s="6"/>
      <c r="AR29" s="5"/>
      <c r="AS29" s="21"/>
      <c r="AT29" s="5"/>
      <c r="AU29" s="6"/>
      <c r="AV29" s="5"/>
      <c r="AW29" s="6"/>
      <c r="AX29" s="5"/>
      <c r="AY29" s="21"/>
      <c r="AZ29" s="6"/>
      <c r="BA29" s="6"/>
      <c r="BB29" s="6"/>
      <c r="BC29" s="7" t="str">
        <f t="shared" si="0"/>
        <v/>
      </c>
      <c r="BD29" s="7" t="str">
        <f t="shared" si="1"/>
        <v/>
      </c>
      <c r="BE29" s="4"/>
      <c r="BF29" s="16"/>
      <c r="BG29" s="16" t="str">
        <f t="shared" si="2"/>
        <v/>
      </c>
      <c r="BH29" s="16" t="str">
        <f t="shared" si="3"/>
        <v/>
      </c>
      <c r="BI29" s="16" t="str">
        <f t="shared" si="4"/>
        <v/>
      </c>
      <c r="BJ29" s="16" t="str">
        <f t="shared" si="5"/>
        <v/>
      </c>
      <c r="BK29" t="str">
        <f t="shared" si="6"/>
        <v/>
      </c>
      <c r="BL29" t="str">
        <f t="shared" si="7"/>
        <v/>
      </c>
      <c r="BM29" t="str">
        <f t="shared" si="8"/>
        <v/>
      </c>
      <c r="BN29" t="str">
        <f t="shared" si="9"/>
        <v/>
      </c>
      <c r="BO29" t="str">
        <f t="shared" si="10"/>
        <v/>
      </c>
      <c r="BP29" t="str">
        <f t="shared" si="11"/>
        <v/>
      </c>
      <c r="BQ29" t="str">
        <f t="shared" si="12"/>
        <v/>
      </c>
      <c r="BR29" t="str">
        <f t="shared" si="13"/>
        <v/>
      </c>
      <c r="BS29" t="str">
        <f t="shared" si="14"/>
        <v/>
      </c>
      <c r="BT29" t="str">
        <f t="shared" si="15"/>
        <v/>
      </c>
      <c r="BU29" t="str">
        <f t="shared" si="16"/>
        <v/>
      </c>
      <c r="BV29" t="str">
        <f t="shared" si="17"/>
        <v/>
      </c>
      <c r="BW29" t="str">
        <f t="shared" si="18"/>
        <v/>
      </c>
      <c r="BX29" t="str">
        <f t="shared" si="19"/>
        <v/>
      </c>
      <c r="BY29" t="str">
        <f t="shared" si="20"/>
        <v/>
      </c>
      <c r="BZ29" t="str">
        <f t="shared" si="21"/>
        <v/>
      </c>
      <c r="CA29" t="str">
        <f t="shared" si="22"/>
        <v/>
      </c>
      <c r="CB29" t="str">
        <f t="shared" si="23"/>
        <v/>
      </c>
      <c r="CC29" t="str">
        <f t="shared" si="24"/>
        <v/>
      </c>
      <c r="CD29" t="str">
        <f t="shared" si="25"/>
        <v/>
      </c>
    </row>
    <row r="30" spans="1:82" ht="33.6" customHeight="1" x14ac:dyDescent="0.3">
      <c r="A30" s="4"/>
      <c r="B30" s="4"/>
      <c r="C30" s="4"/>
      <c r="D30" s="5"/>
      <c r="E30" s="6"/>
      <c r="F30" s="5"/>
      <c r="G30" s="6"/>
      <c r="H30" s="5"/>
      <c r="I30" s="21"/>
      <c r="J30" s="5"/>
      <c r="K30" s="6"/>
      <c r="L30" s="5"/>
      <c r="M30" s="6"/>
      <c r="N30" s="5"/>
      <c r="O30" s="6"/>
      <c r="P30" s="5"/>
      <c r="Q30" s="6"/>
      <c r="R30" s="5"/>
      <c r="S30" s="6"/>
      <c r="T30" s="5"/>
      <c r="U30" s="21"/>
      <c r="V30" s="5"/>
      <c r="W30" s="6"/>
      <c r="X30" s="5"/>
      <c r="Y30" s="6"/>
      <c r="Z30" s="5"/>
      <c r="AA30" s="6"/>
      <c r="AB30" s="5"/>
      <c r="AC30" s="6"/>
      <c r="AD30" s="5"/>
      <c r="AE30" s="6"/>
      <c r="AF30" s="5"/>
      <c r="AG30" s="21"/>
      <c r="AH30" s="5"/>
      <c r="AI30" s="6"/>
      <c r="AJ30" s="5"/>
      <c r="AK30" s="6"/>
      <c r="AL30" s="5"/>
      <c r="AM30" s="21"/>
      <c r="AN30" s="5"/>
      <c r="AO30" s="6"/>
      <c r="AP30" s="5"/>
      <c r="AQ30" s="6"/>
      <c r="AR30" s="5"/>
      <c r="AS30" s="21"/>
      <c r="AT30" s="5"/>
      <c r="AU30" s="6"/>
      <c r="AV30" s="5"/>
      <c r="AW30" s="6"/>
      <c r="AX30" s="5"/>
      <c r="AY30" s="21"/>
      <c r="AZ30" s="6"/>
      <c r="BA30" s="6"/>
      <c r="BB30" s="6"/>
      <c r="BC30" s="7" t="str">
        <f t="shared" si="0"/>
        <v/>
      </c>
      <c r="BD30" s="7" t="str">
        <f t="shared" si="1"/>
        <v/>
      </c>
      <c r="BE30" s="4"/>
      <c r="BF30" s="16"/>
      <c r="BG30" s="16" t="str">
        <f t="shared" si="2"/>
        <v/>
      </c>
      <c r="BH30" s="16" t="str">
        <f t="shared" si="3"/>
        <v/>
      </c>
      <c r="BI30" s="16" t="str">
        <f t="shared" si="4"/>
        <v/>
      </c>
      <c r="BJ30" s="16" t="str">
        <f t="shared" si="5"/>
        <v/>
      </c>
      <c r="BK30" t="str">
        <f t="shared" si="6"/>
        <v/>
      </c>
      <c r="BL30" t="str">
        <f t="shared" si="7"/>
        <v/>
      </c>
      <c r="BM30" t="str">
        <f t="shared" si="8"/>
        <v/>
      </c>
      <c r="BN30" t="str">
        <f t="shared" si="9"/>
        <v/>
      </c>
      <c r="BO30" t="str">
        <f t="shared" si="10"/>
        <v/>
      </c>
      <c r="BP30" t="str">
        <f t="shared" si="11"/>
        <v/>
      </c>
      <c r="BQ30" t="str">
        <f t="shared" si="12"/>
        <v/>
      </c>
      <c r="BR30" t="str">
        <f t="shared" si="13"/>
        <v/>
      </c>
      <c r="BS30" t="str">
        <f t="shared" si="14"/>
        <v/>
      </c>
      <c r="BT30" t="str">
        <f t="shared" si="15"/>
        <v/>
      </c>
      <c r="BU30" t="str">
        <f t="shared" si="16"/>
        <v/>
      </c>
      <c r="BV30" t="str">
        <f t="shared" si="17"/>
        <v/>
      </c>
      <c r="BW30" t="str">
        <f t="shared" si="18"/>
        <v/>
      </c>
      <c r="BX30" t="str">
        <f t="shared" si="19"/>
        <v/>
      </c>
      <c r="BY30" t="str">
        <f t="shared" si="20"/>
        <v/>
      </c>
      <c r="BZ30" t="str">
        <f t="shared" si="21"/>
        <v/>
      </c>
      <c r="CA30" t="str">
        <f t="shared" si="22"/>
        <v/>
      </c>
      <c r="CB30" t="str">
        <f t="shared" si="23"/>
        <v/>
      </c>
      <c r="CC30" t="str">
        <f t="shared" si="24"/>
        <v/>
      </c>
      <c r="CD30" t="str">
        <f t="shared" si="25"/>
        <v/>
      </c>
    </row>
    <row r="31" spans="1:82" ht="33.6" customHeight="1" x14ac:dyDescent="0.3">
      <c r="A31" s="4"/>
      <c r="B31" s="4"/>
      <c r="C31" s="4"/>
      <c r="D31" s="5"/>
      <c r="E31" s="6"/>
      <c r="F31" s="5"/>
      <c r="G31" s="6"/>
      <c r="H31" s="5"/>
      <c r="I31" s="21"/>
      <c r="J31" s="5"/>
      <c r="K31" s="6"/>
      <c r="L31" s="5"/>
      <c r="M31" s="6"/>
      <c r="N31" s="5"/>
      <c r="O31" s="6"/>
      <c r="P31" s="5"/>
      <c r="Q31" s="6"/>
      <c r="R31" s="5"/>
      <c r="S31" s="6"/>
      <c r="T31" s="5"/>
      <c r="U31" s="21"/>
      <c r="V31" s="5"/>
      <c r="W31" s="6"/>
      <c r="X31" s="5"/>
      <c r="Y31" s="6"/>
      <c r="Z31" s="5"/>
      <c r="AA31" s="6"/>
      <c r="AB31" s="5"/>
      <c r="AC31" s="6"/>
      <c r="AD31" s="5"/>
      <c r="AE31" s="6"/>
      <c r="AF31" s="5"/>
      <c r="AG31" s="21"/>
      <c r="AH31" s="5"/>
      <c r="AI31" s="6"/>
      <c r="AJ31" s="5"/>
      <c r="AK31" s="6"/>
      <c r="AL31" s="5"/>
      <c r="AM31" s="21"/>
      <c r="AN31" s="5"/>
      <c r="AO31" s="6"/>
      <c r="AP31" s="5"/>
      <c r="AQ31" s="6"/>
      <c r="AR31" s="5"/>
      <c r="AS31" s="21"/>
      <c r="AT31" s="5"/>
      <c r="AU31" s="6"/>
      <c r="AV31" s="5"/>
      <c r="AW31" s="6"/>
      <c r="AX31" s="5"/>
      <c r="AY31" s="21"/>
      <c r="AZ31" s="6"/>
      <c r="BA31" s="6"/>
      <c r="BB31" s="6"/>
      <c r="BC31" s="7" t="str">
        <f t="shared" si="0"/>
        <v/>
      </c>
      <c r="BD31" s="7" t="str">
        <f t="shared" si="1"/>
        <v/>
      </c>
      <c r="BE31" s="4"/>
      <c r="BF31" s="16"/>
      <c r="BG31" s="16" t="str">
        <f t="shared" si="2"/>
        <v/>
      </c>
      <c r="BH31" s="16" t="str">
        <f t="shared" si="3"/>
        <v/>
      </c>
      <c r="BI31" s="16" t="str">
        <f t="shared" si="4"/>
        <v/>
      </c>
      <c r="BJ31" s="16" t="str">
        <f t="shared" si="5"/>
        <v/>
      </c>
      <c r="BK31" t="str">
        <f t="shared" si="6"/>
        <v/>
      </c>
      <c r="BL31" t="str">
        <f t="shared" si="7"/>
        <v/>
      </c>
      <c r="BM31" t="str">
        <f t="shared" si="8"/>
        <v/>
      </c>
      <c r="BN31" t="str">
        <f t="shared" si="9"/>
        <v/>
      </c>
      <c r="BO31" t="str">
        <f t="shared" si="10"/>
        <v/>
      </c>
      <c r="BP31" t="str">
        <f t="shared" si="11"/>
        <v/>
      </c>
      <c r="BQ31" t="str">
        <f t="shared" si="12"/>
        <v/>
      </c>
      <c r="BR31" t="str">
        <f t="shared" si="13"/>
        <v/>
      </c>
      <c r="BS31" t="str">
        <f t="shared" si="14"/>
        <v/>
      </c>
      <c r="BT31" t="str">
        <f t="shared" si="15"/>
        <v/>
      </c>
      <c r="BU31" t="str">
        <f t="shared" si="16"/>
        <v/>
      </c>
      <c r="BV31" t="str">
        <f t="shared" si="17"/>
        <v/>
      </c>
      <c r="BW31" t="str">
        <f t="shared" si="18"/>
        <v/>
      </c>
      <c r="BX31" t="str">
        <f t="shared" si="19"/>
        <v/>
      </c>
      <c r="BY31" t="str">
        <f t="shared" si="20"/>
        <v/>
      </c>
      <c r="BZ31" t="str">
        <f t="shared" si="21"/>
        <v/>
      </c>
      <c r="CA31" t="str">
        <f t="shared" si="22"/>
        <v/>
      </c>
      <c r="CB31" t="str">
        <f t="shared" si="23"/>
        <v/>
      </c>
      <c r="CC31" t="str">
        <f t="shared" si="24"/>
        <v/>
      </c>
      <c r="CD31" t="str">
        <f t="shared" si="25"/>
        <v/>
      </c>
    </row>
    <row r="32" spans="1:82" ht="33.6" customHeight="1" x14ac:dyDescent="0.3">
      <c r="A32" s="4"/>
      <c r="B32" s="4"/>
      <c r="C32" s="4"/>
      <c r="D32" s="5"/>
      <c r="E32" s="6"/>
      <c r="F32" s="5"/>
      <c r="G32" s="6"/>
      <c r="H32" s="5"/>
      <c r="I32" s="21"/>
      <c r="J32" s="5"/>
      <c r="K32" s="6"/>
      <c r="L32" s="5"/>
      <c r="M32" s="6"/>
      <c r="N32" s="5"/>
      <c r="O32" s="6"/>
      <c r="P32" s="5"/>
      <c r="Q32" s="6"/>
      <c r="R32" s="5"/>
      <c r="S32" s="6"/>
      <c r="T32" s="5"/>
      <c r="U32" s="21"/>
      <c r="V32" s="5"/>
      <c r="W32" s="6"/>
      <c r="X32" s="5"/>
      <c r="Y32" s="6"/>
      <c r="Z32" s="5"/>
      <c r="AA32" s="6"/>
      <c r="AB32" s="5"/>
      <c r="AC32" s="6"/>
      <c r="AD32" s="5"/>
      <c r="AE32" s="6"/>
      <c r="AF32" s="5"/>
      <c r="AG32" s="21"/>
      <c r="AH32" s="5"/>
      <c r="AI32" s="6"/>
      <c r="AJ32" s="5"/>
      <c r="AK32" s="6"/>
      <c r="AL32" s="5"/>
      <c r="AM32" s="21"/>
      <c r="AN32" s="5"/>
      <c r="AO32" s="6"/>
      <c r="AP32" s="5"/>
      <c r="AQ32" s="6"/>
      <c r="AR32" s="5"/>
      <c r="AS32" s="21"/>
      <c r="AT32" s="5"/>
      <c r="AU32" s="6"/>
      <c r="AV32" s="5"/>
      <c r="AW32" s="6"/>
      <c r="AX32" s="5"/>
      <c r="AY32" s="21"/>
      <c r="AZ32" s="6"/>
      <c r="BA32" s="6"/>
      <c r="BB32" s="6"/>
      <c r="BC32" s="7" t="str">
        <f t="shared" si="0"/>
        <v/>
      </c>
      <c r="BD32" s="7" t="str">
        <f t="shared" si="1"/>
        <v/>
      </c>
      <c r="BE32" s="4"/>
      <c r="BF32" s="16"/>
      <c r="BG32" s="16" t="str">
        <f t="shared" si="2"/>
        <v/>
      </c>
      <c r="BH32" s="16" t="str">
        <f t="shared" si="3"/>
        <v/>
      </c>
      <c r="BI32" s="16" t="str">
        <f t="shared" si="4"/>
        <v/>
      </c>
      <c r="BJ32" s="16" t="str">
        <f t="shared" si="5"/>
        <v/>
      </c>
      <c r="BK32" t="str">
        <f t="shared" si="6"/>
        <v/>
      </c>
      <c r="BL32" t="str">
        <f t="shared" si="7"/>
        <v/>
      </c>
      <c r="BM32" t="str">
        <f t="shared" si="8"/>
        <v/>
      </c>
      <c r="BN32" t="str">
        <f t="shared" si="9"/>
        <v/>
      </c>
      <c r="BO32" t="str">
        <f t="shared" si="10"/>
        <v/>
      </c>
      <c r="BP32" t="str">
        <f t="shared" si="11"/>
        <v/>
      </c>
      <c r="BQ32" t="str">
        <f t="shared" si="12"/>
        <v/>
      </c>
      <c r="BR32" t="str">
        <f t="shared" si="13"/>
        <v/>
      </c>
      <c r="BS32" t="str">
        <f t="shared" si="14"/>
        <v/>
      </c>
      <c r="BT32" t="str">
        <f t="shared" si="15"/>
        <v/>
      </c>
      <c r="BU32" t="str">
        <f t="shared" si="16"/>
        <v/>
      </c>
      <c r="BV32" t="str">
        <f t="shared" si="17"/>
        <v/>
      </c>
      <c r="BW32" t="str">
        <f t="shared" si="18"/>
        <v/>
      </c>
      <c r="BX32" t="str">
        <f t="shared" si="19"/>
        <v/>
      </c>
      <c r="BY32" t="str">
        <f t="shared" si="20"/>
        <v/>
      </c>
      <c r="BZ32" t="str">
        <f t="shared" si="21"/>
        <v/>
      </c>
      <c r="CA32" t="str">
        <f t="shared" si="22"/>
        <v/>
      </c>
      <c r="CB32" t="str">
        <f t="shared" si="23"/>
        <v/>
      </c>
      <c r="CC32" t="str">
        <f t="shared" si="24"/>
        <v/>
      </c>
      <c r="CD32" t="str">
        <f t="shared" si="25"/>
        <v/>
      </c>
    </row>
    <row r="33" spans="1:82" ht="33.6" customHeight="1" x14ac:dyDescent="0.3">
      <c r="A33" s="4"/>
      <c r="B33" s="4"/>
      <c r="C33" s="4"/>
      <c r="D33" s="5"/>
      <c r="E33" s="6"/>
      <c r="F33" s="5"/>
      <c r="G33" s="6"/>
      <c r="H33" s="5"/>
      <c r="I33" s="21"/>
      <c r="J33" s="5"/>
      <c r="K33" s="6"/>
      <c r="L33" s="5"/>
      <c r="M33" s="6"/>
      <c r="N33" s="5"/>
      <c r="O33" s="6"/>
      <c r="P33" s="5"/>
      <c r="Q33" s="6"/>
      <c r="R33" s="5"/>
      <c r="S33" s="6"/>
      <c r="T33" s="5"/>
      <c r="U33" s="21"/>
      <c r="V33" s="5"/>
      <c r="W33" s="6"/>
      <c r="X33" s="5"/>
      <c r="Y33" s="6"/>
      <c r="Z33" s="5"/>
      <c r="AA33" s="6"/>
      <c r="AB33" s="5"/>
      <c r="AC33" s="6"/>
      <c r="AD33" s="5"/>
      <c r="AE33" s="6"/>
      <c r="AF33" s="5"/>
      <c r="AG33" s="21"/>
      <c r="AH33" s="5"/>
      <c r="AI33" s="6"/>
      <c r="AJ33" s="5"/>
      <c r="AK33" s="6"/>
      <c r="AL33" s="5"/>
      <c r="AM33" s="21"/>
      <c r="AN33" s="5"/>
      <c r="AO33" s="6"/>
      <c r="AP33" s="5"/>
      <c r="AQ33" s="6"/>
      <c r="AR33" s="5"/>
      <c r="AS33" s="21"/>
      <c r="AT33" s="5"/>
      <c r="AU33" s="6"/>
      <c r="AV33" s="5"/>
      <c r="AW33" s="6"/>
      <c r="AX33" s="5"/>
      <c r="AY33" s="21"/>
      <c r="AZ33" s="6"/>
      <c r="BA33" s="6"/>
      <c r="BB33" s="6"/>
      <c r="BC33" s="7" t="str">
        <f t="shared" si="0"/>
        <v/>
      </c>
      <c r="BD33" s="7" t="str">
        <f t="shared" si="1"/>
        <v/>
      </c>
      <c r="BE33" s="4"/>
      <c r="BF33" s="16"/>
      <c r="BG33" s="16" t="str">
        <f t="shared" si="2"/>
        <v/>
      </c>
      <c r="BH33" s="16" t="str">
        <f t="shared" si="3"/>
        <v/>
      </c>
      <c r="BI33" s="16" t="str">
        <f t="shared" si="4"/>
        <v/>
      </c>
      <c r="BJ33" s="16" t="str">
        <f t="shared" si="5"/>
        <v/>
      </c>
      <c r="BK33" t="str">
        <f t="shared" si="6"/>
        <v/>
      </c>
      <c r="BL33" t="str">
        <f t="shared" si="7"/>
        <v/>
      </c>
      <c r="BM33" t="str">
        <f t="shared" si="8"/>
        <v/>
      </c>
      <c r="BN33" t="str">
        <f t="shared" si="9"/>
        <v/>
      </c>
      <c r="BO33" t="str">
        <f t="shared" si="10"/>
        <v/>
      </c>
      <c r="BP33" t="str">
        <f t="shared" si="11"/>
        <v/>
      </c>
      <c r="BQ33" t="str">
        <f t="shared" si="12"/>
        <v/>
      </c>
      <c r="BR33" t="str">
        <f t="shared" si="13"/>
        <v/>
      </c>
      <c r="BS33" t="str">
        <f t="shared" si="14"/>
        <v/>
      </c>
      <c r="BT33" t="str">
        <f t="shared" si="15"/>
        <v/>
      </c>
      <c r="BU33" t="str">
        <f t="shared" si="16"/>
        <v/>
      </c>
      <c r="BV33" t="str">
        <f t="shared" si="17"/>
        <v/>
      </c>
      <c r="BW33" t="str">
        <f t="shared" si="18"/>
        <v/>
      </c>
      <c r="BX33" t="str">
        <f t="shared" si="19"/>
        <v/>
      </c>
      <c r="BY33" t="str">
        <f t="shared" si="20"/>
        <v/>
      </c>
      <c r="BZ33" t="str">
        <f t="shared" si="21"/>
        <v/>
      </c>
      <c r="CA33" t="str">
        <f t="shared" si="22"/>
        <v/>
      </c>
      <c r="CB33" t="str">
        <f t="shared" si="23"/>
        <v/>
      </c>
      <c r="CC33" t="str">
        <f t="shared" si="24"/>
        <v/>
      </c>
      <c r="CD33" t="str">
        <f t="shared" si="25"/>
        <v/>
      </c>
    </row>
    <row r="34" spans="1:82" ht="33.6" customHeight="1" x14ac:dyDescent="0.3">
      <c r="A34" s="4"/>
      <c r="B34" s="4"/>
      <c r="C34" s="4"/>
      <c r="D34" s="5"/>
      <c r="E34" s="6"/>
      <c r="F34" s="5"/>
      <c r="G34" s="6"/>
      <c r="H34" s="5"/>
      <c r="I34" s="21"/>
      <c r="J34" s="5"/>
      <c r="K34" s="6"/>
      <c r="L34" s="5"/>
      <c r="M34" s="6"/>
      <c r="N34" s="5"/>
      <c r="O34" s="6"/>
      <c r="P34" s="5"/>
      <c r="Q34" s="6"/>
      <c r="R34" s="5"/>
      <c r="S34" s="6"/>
      <c r="T34" s="5"/>
      <c r="U34" s="21"/>
      <c r="V34" s="5"/>
      <c r="W34" s="6"/>
      <c r="X34" s="5"/>
      <c r="Y34" s="6"/>
      <c r="Z34" s="5"/>
      <c r="AA34" s="6"/>
      <c r="AB34" s="5"/>
      <c r="AC34" s="6"/>
      <c r="AD34" s="5"/>
      <c r="AE34" s="6"/>
      <c r="AF34" s="5"/>
      <c r="AG34" s="21"/>
      <c r="AH34" s="5"/>
      <c r="AI34" s="6"/>
      <c r="AJ34" s="5"/>
      <c r="AK34" s="6"/>
      <c r="AL34" s="5"/>
      <c r="AM34" s="21"/>
      <c r="AN34" s="5"/>
      <c r="AO34" s="6"/>
      <c r="AP34" s="5"/>
      <c r="AQ34" s="6"/>
      <c r="AR34" s="5"/>
      <c r="AS34" s="21"/>
      <c r="AT34" s="5"/>
      <c r="AU34" s="6"/>
      <c r="AV34" s="5"/>
      <c r="AW34" s="6"/>
      <c r="AX34" s="5"/>
      <c r="AY34" s="21"/>
      <c r="AZ34" s="6"/>
      <c r="BA34" s="6"/>
      <c r="BB34" s="6"/>
      <c r="BC34" s="7" t="str">
        <f t="shared" si="0"/>
        <v/>
      </c>
      <c r="BD34" s="7" t="str">
        <f t="shared" si="1"/>
        <v/>
      </c>
      <c r="BE34" s="4"/>
      <c r="BF34" s="16"/>
      <c r="BG34" s="16" t="str">
        <f t="shared" si="2"/>
        <v/>
      </c>
      <c r="BH34" s="16" t="str">
        <f t="shared" si="3"/>
        <v/>
      </c>
      <c r="BI34" s="16" t="str">
        <f t="shared" si="4"/>
        <v/>
      </c>
      <c r="BJ34" s="16" t="str">
        <f t="shared" si="5"/>
        <v/>
      </c>
      <c r="BK34" t="str">
        <f t="shared" si="6"/>
        <v/>
      </c>
      <c r="BL34" t="str">
        <f t="shared" si="7"/>
        <v/>
      </c>
      <c r="BM34" t="str">
        <f t="shared" si="8"/>
        <v/>
      </c>
      <c r="BN34" t="str">
        <f t="shared" si="9"/>
        <v/>
      </c>
      <c r="BO34" t="str">
        <f t="shared" si="10"/>
        <v/>
      </c>
      <c r="BP34" t="str">
        <f t="shared" si="11"/>
        <v/>
      </c>
      <c r="BQ34" t="str">
        <f t="shared" si="12"/>
        <v/>
      </c>
      <c r="BR34" t="str">
        <f t="shared" si="13"/>
        <v/>
      </c>
      <c r="BS34" t="str">
        <f t="shared" si="14"/>
        <v/>
      </c>
      <c r="BT34" t="str">
        <f t="shared" si="15"/>
        <v/>
      </c>
      <c r="BU34" t="str">
        <f t="shared" si="16"/>
        <v/>
      </c>
      <c r="BV34" t="str">
        <f t="shared" si="17"/>
        <v/>
      </c>
      <c r="BW34" t="str">
        <f t="shared" si="18"/>
        <v/>
      </c>
      <c r="BX34" t="str">
        <f t="shared" si="19"/>
        <v/>
      </c>
      <c r="BY34" t="str">
        <f t="shared" si="20"/>
        <v/>
      </c>
      <c r="BZ34" t="str">
        <f t="shared" si="21"/>
        <v/>
      </c>
      <c r="CA34" t="str">
        <f t="shared" si="22"/>
        <v/>
      </c>
      <c r="CB34" t="str">
        <f t="shared" si="23"/>
        <v/>
      </c>
      <c r="CC34" t="str">
        <f t="shared" si="24"/>
        <v/>
      </c>
      <c r="CD34" t="str">
        <f t="shared" si="25"/>
        <v/>
      </c>
    </row>
    <row r="35" spans="1:82" ht="33.6" customHeight="1" x14ac:dyDescent="0.3">
      <c r="A35" s="4"/>
      <c r="B35" s="4"/>
      <c r="C35" s="4"/>
      <c r="D35" s="5"/>
      <c r="E35" s="6"/>
      <c r="F35" s="5"/>
      <c r="G35" s="6"/>
      <c r="H35" s="5"/>
      <c r="I35" s="21"/>
      <c r="J35" s="5"/>
      <c r="K35" s="6"/>
      <c r="L35" s="5"/>
      <c r="M35" s="6"/>
      <c r="N35" s="5"/>
      <c r="O35" s="6"/>
      <c r="P35" s="5"/>
      <c r="Q35" s="6"/>
      <c r="R35" s="5"/>
      <c r="S35" s="6"/>
      <c r="T35" s="5"/>
      <c r="U35" s="21"/>
      <c r="V35" s="5"/>
      <c r="W35" s="6"/>
      <c r="X35" s="5"/>
      <c r="Y35" s="6"/>
      <c r="Z35" s="5"/>
      <c r="AA35" s="6"/>
      <c r="AB35" s="5"/>
      <c r="AC35" s="6"/>
      <c r="AD35" s="5"/>
      <c r="AE35" s="6"/>
      <c r="AF35" s="5"/>
      <c r="AG35" s="21"/>
      <c r="AH35" s="5"/>
      <c r="AI35" s="6"/>
      <c r="AJ35" s="5"/>
      <c r="AK35" s="6"/>
      <c r="AL35" s="5"/>
      <c r="AM35" s="21"/>
      <c r="AN35" s="5"/>
      <c r="AO35" s="6"/>
      <c r="AP35" s="5"/>
      <c r="AQ35" s="6"/>
      <c r="AR35" s="5"/>
      <c r="AS35" s="21"/>
      <c r="AT35" s="5"/>
      <c r="AU35" s="6"/>
      <c r="AV35" s="5"/>
      <c r="AW35" s="6"/>
      <c r="AX35" s="5"/>
      <c r="AY35" s="21"/>
      <c r="AZ35" s="6"/>
      <c r="BA35" s="6"/>
      <c r="BB35" s="6"/>
      <c r="BC35" s="7" t="str">
        <f t="shared" si="0"/>
        <v/>
      </c>
      <c r="BD35" s="7" t="str">
        <f t="shared" si="1"/>
        <v/>
      </c>
      <c r="BE35" s="4"/>
      <c r="BF35" s="16"/>
      <c r="BG35" s="16" t="str">
        <f t="shared" si="2"/>
        <v/>
      </c>
      <c r="BH35" s="16" t="str">
        <f t="shared" si="3"/>
        <v/>
      </c>
      <c r="BI35" s="16" t="str">
        <f t="shared" si="4"/>
        <v/>
      </c>
      <c r="BJ35" s="16" t="str">
        <f t="shared" si="5"/>
        <v/>
      </c>
      <c r="BK35" t="str">
        <f t="shared" si="6"/>
        <v/>
      </c>
      <c r="BL35" t="str">
        <f t="shared" si="7"/>
        <v/>
      </c>
      <c r="BM35" t="str">
        <f t="shared" si="8"/>
        <v/>
      </c>
      <c r="BN35" t="str">
        <f t="shared" si="9"/>
        <v/>
      </c>
      <c r="BO35" t="str">
        <f t="shared" si="10"/>
        <v/>
      </c>
      <c r="BP35" t="str">
        <f t="shared" si="11"/>
        <v/>
      </c>
      <c r="BQ35" t="str">
        <f t="shared" si="12"/>
        <v/>
      </c>
      <c r="BR35" t="str">
        <f t="shared" si="13"/>
        <v/>
      </c>
      <c r="BS35" t="str">
        <f t="shared" si="14"/>
        <v/>
      </c>
      <c r="BT35" t="str">
        <f t="shared" si="15"/>
        <v/>
      </c>
      <c r="BU35" t="str">
        <f t="shared" si="16"/>
        <v/>
      </c>
      <c r="BV35" t="str">
        <f t="shared" si="17"/>
        <v/>
      </c>
      <c r="BW35" t="str">
        <f t="shared" si="18"/>
        <v/>
      </c>
      <c r="BX35" t="str">
        <f t="shared" si="19"/>
        <v/>
      </c>
      <c r="BY35" t="str">
        <f t="shared" si="20"/>
        <v/>
      </c>
      <c r="BZ35" t="str">
        <f t="shared" si="21"/>
        <v/>
      </c>
      <c r="CA35" t="str">
        <f t="shared" si="22"/>
        <v/>
      </c>
      <c r="CB35" t="str">
        <f t="shared" si="23"/>
        <v/>
      </c>
      <c r="CC35" t="str">
        <f t="shared" si="24"/>
        <v/>
      </c>
      <c r="CD35" t="str">
        <f t="shared" si="25"/>
        <v/>
      </c>
    </row>
    <row r="36" spans="1:82" ht="33.6" customHeight="1" x14ac:dyDescent="0.3">
      <c r="A36" s="4"/>
      <c r="B36" s="4"/>
      <c r="C36" s="4"/>
      <c r="D36" s="5"/>
      <c r="E36" s="6"/>
      <c r="F36" s="5"/>
      <c r="G36" s="6"/>
      <c r="H36" s="5"/>
      <c r="I36" s="21"/>
      <c r="J36" s="5"/>
      <c r="K36" s="6"/>
      <c r="L36" s="5"/>
      <c r="M36" s="6"/>
      <c r="N36" s="5"/>
      <c r="O36" s="6"/>
      <c r="P36" s="5"/>
      <c r="Q36" s="6"/>
      <c r="R36" s="5"/>
      <c r="S36" s="6"/>
      <c r="T36" s="5"/>
      <c r="U36" s="21"/>
      <c r="V36" s="5"/>
      <c r="W36" s="6"/>
      <c r="X36" s="5"/>
      <c r="Y36" s="6"/>
      <c r="Z36" s="5"/>
      <c r="AA36" s="6"/>
      <c r="AB36" s="5"/>
      <c r="AC36" s="6"/>
      <c r="AD36" s="5"/>
      <c r="AE36" s="6"/>
      <c r="AF36" s="5"/>
      <c r="AG36" s="21"/>
      <c r="AH36" s="5"/>
      <c r="AI36" s="6"/>
      <c r="AJ36" s="5"/>
      <c r="AK36" s="6"/>
      <c r="AL36" s="5"/>
      <c r="AM36" s="21"/>
      <c r="AN36" s="5"/>
      <c r="AO36" s="6"/>
      <c r="AP36" s="5"/>
      <c r="AQ36" s="6"/>
      <c r="AR36" s="5"/>
      <c r="AS36" s="21"/>
      <c r="AT36" s="5"/>
      <c r="AU36" s="6"/>
      <c r="AV36" s="5"/>
      <c r="AW36" s="6"/>
      <c r="AX36" s="5"/>
      <c r="AY36" s="21"/>
      <c r="AZ36" s="6"/>
      <c r="BA36" s="6"/>
      <c r="BB36" s="6"/>
      <c r="BC36" s="7" t="str">
        <f t="shared" ref="BC36:BC67" si="26">IFERROR((COUNTIF(D36:AX36,"A")*4+COUNTIF(D36:AX36,"B")*3+COUNTIF(D36:AX36,"C")*2+COUNTIF(D36:AX36,"D")*1)/(COUNTIF(D36:AX36,"A")+COUNTIF(D36:AX36,"B")+COUNTIF(D36:AX36,"C")+COUNTIF(D36:AX36,"D"))*25,"")</f>
        <v/>
      </c>
      <c r="BD36" s="7" t="str">
        <f t="shared" ref="BD36:BD67" si="27">IF(BC36="","",IF(BC36&gt;=85,"A",IF(BC36&gt;=70,"B",IF(BC36&gt;=50,"C","D"))))</f>
        <v/>
      </c>
      <c r="BE36" s="4"/>
      <c r="BF36" s="16"/>
      <c r="BG36" s="16" t="str">
        <f t="shared" si="2"/>
        <v/>
      </c>
      <c r="BH36" s="16" t="str">
        <f t="shared" si="3"/>
        <v/>
      </c>
      <c r="BI36" s="16" t="str">
        <f t="shared" si="4"/>
        <v/>
      </c>
      <c r="BJ36" s="16" t="str">
        <f t="shared" si="5"/>
        <v/>
      </c>
      <c r="BK36" t="str">
        <f t="shared" si="6"/>
        <v/>
      </c>
      <c r="BL36" t="str">
        <f t="shared" si="7"/>
        <v/>
      </c>
      <c r="BM36" t="str">
        <f t="shared" si="8"/>
        <v/>
      </c>
      <c r="BN36" t="str">
        <f t="shared" si="9"/>
        <v/>
      </c>
      <c r="BO36" t="str">
        <f t="shared" si="10"/>
        <v/>
      </c>
      <c r="BP36" t="str">
        <f t="shared" si="11"/>
        <v/>
      </c>
      <c r="BQ36" t="str">
        <f t="shared" si="12"/>
        <v/>
      </c>
      <c r="BR36" t="str">
        <f t="shared" si="13"/>
        <v/>
      </c>
      <c r="BS36" t="str">
        <f t="shared" si="14"/>
        <v/>
      </c>
      <c r="BT36" t="str">
        <f t="shared" si="15"/>
        <v/>
      </c>
      <c r="BU36" t="str">
        <f t="shared" si="16"/>
        <v/>
      </c>
      <c r="BV36" t="str">
        <f t="shared" si="17"/>
        <v/>
      </c>
      <c r="BW36" t="str">
        <f t="shared" si="18"/>
        <v/>
      </c>
      <c r="BX36" t="str">
        <f t="shared" si="19"/>
        <v/>
      </c>
      <c r="BY36" t="str">
        <f t="shared" si="20"/>
        <v/>
      </c>
      <c r="BZ36" t="str">
        <f t="shared" si="21"/>
        <v/>
      </c>
      <c r="CA36" t="str">
        <f t="shared" si="22"/>
        <v/>
      </c>
      <c r="CB36" t="str">
        <f t="shared" si="23"/>
        <v/>
      </c>
      <c r="CC36" t="str">
        <f t="shared" si="24"/>
        <v/>
      </c>
      <c r="CD36" t="str">
        <f t="shared" si="25"/>
        <v/>
      </c>
    </row>
    <row r="37" spans="1:82" ht="33.6" customHeight="1" x14ac:dyDescent="0.3">
      <c r="A37" s="4"/>
      <c r="B37" s="4"/>
      <c r="C37" s="4"/>
      <c r="D37" s="5"/>
      <c r="E37" s="6"/>
      <c r="F37" s="5"/>
      <c r="G37" s="6"/>
      <c r="H37" s="5"/>
      <c r="I37" s="21"/>
      <c r="J37" s="5"/>
      <c r="K37" s="6"/>
      <c r="L37" s="5"/>
      <c r="M37" s="6"/>
      <c r="N37" s="5"/>
      <c r="O37" s="6"/>
      <c r="P37" s="5"/>
      <c r="Q37" s="6"/>
      <c r="R37" s="5"/>
      <c r="S37" s="6"/>
      <c r="T37" s="5"/>
      <c r="U37" s="21"/>
      <c r="V37" s="5"/>
      <c r="W37" s="6"/>
      <c r="X37" s="5"/>
      <c r="Y37" s="6"/>
      <c r="Z37" s="5"/>
      <c r="AA37" s="6"/>
      <c r="AB37" s="5"/>
      <c r="AC37" s="6"/>
      <c r="AD37" s="5"/>
      <c r="AE37" s="6"/>
      <c r="AF37" s="5"/>
      <c r="AG37" s="21"/>
      <c r="AH37" s="5"/>
      <c r="AI37" s="6"/>
      <c r="AJ37" s="5"/>
      <c r="AK37" s="6"/>
      <c r="AL37" s="5"/>
      <c r="AM37" s="21"/>
      <c r="AN37" s="5"/>
      <c r="AO37" s="6"/>
      <c r="AP37" s="5"/>
      <c r="AQ37" s="6"/>
      <c r="AR37" s="5"/>
      <c r="AS37" s="21"/>
      <c r="AT37" s="5"/>
      <c r="AU37" s="6"/>
      <c r="AV37" s="5"/>
      <c r="AW37" s="6"/>
      <c r="AX37" s="5"/>
      <c r="AY37" s="21"/>
      <c r="AZ37" s="6"/>
      <c r="BA37" s="6"/>
      <c r="BB37" s="6"/>
      <c r="BC37" s="7" t="str">
        <f t="shared" si="26"/>
        <v/>
      </c>
      <c r="BD37" s="7" t="str">
        <f t="shared" si="27"/>
        <v/>
      </c>
      <c r="BE37" s="4"/>
      <c r="BF37" s="16"/>
      <c r="BG37" s="16" t="str">
        <f t="shared" si="2"/>
        <v/>
      </c>
      <c r="BH37" s="16" t="str">
        <f t="shared" si="3"/>
        <v/>
      </c>
      <c r="BI37" s="16" t="str">
        <f t="shared" si="4"/>
        <v/>
      </c>
      <c r="BJ37" s="16" t="str">
        <f t="shared" si="5"/>
        <v/>
      </c>
      <c r="BK37" t="str">
        <f t="shared" si="6"/>
        <v/>
      </c>
      <c r="BL37" t="str">
        <f t="shared" si="7"/>
        <v/>
      </c>
      <c r="BM37" t="str">
        <f t="shared" si="8"/>
        <v/>
      </c>
      <c r="BN37" t="str">
        <f t="shared" si="9"/>
        <v/>
      </c>
      <c r="BO37" t="str">
        <f t="shared" si="10"/>
        <v/>
      </c>
      <c r="BP37" t="str">
        <f t="shared" si="11"/>
        <v/>
      </c>
      <c r="BQ37" t="str">
        <f t="shared" si="12"/>
        <v/>
      </c>
      <c r="BR37" t="str">
        <f t="shared" si="13"/>
        <v/>
      </c>
      <c r="BS37" t="str">
        <f t="shared" si="14"/>
        <v/>
      </c>
      <c r="BT37" t="str">
        <f t="shared" si="15"/>
        <v/>
      </c>
      <c r="BU37" t="str">
        <f t="shared" si="16"/>
        <v/>
      </c>
      <c r="BV37" t="str">
        <f t="shared" si="17"/>
        <v/>
      </c>
      <c r="BW37" t="str">
        <f t="shared" si="18"/>
        <v/>
      </c>
      <c r="BX37" t="str">
        <f t="shared" si="19"/>
        <v/>
      </c>
      <c r="BY37" t="str">
        <f t="shared" si="20"/>
        <v/>
      </c>
      <c r="BZ37" t="str">
        <f t="shared" si="21"/>
        <v/>
      </c>
      <c r="CA37" t="str">
        <f t="shared" si="22"/>
        <v/>
      </c>
      <c r="CB37" t="str">
        <f t="shared" si="23"/>
        <v/>
      </c>
      <c r="CC37" t="str">
        <f t="shared" si="24"/>
        <v/>
      </c>
      <c r="CD37" t="str">
        <f t="shared" si="25"/>
        <v/>
      </c>
    </row>
    <row r="38" spans="1:82" ht="33.6" customHeight="1" x14ac:dyDescent="0.3">
      <c r="A38" s="4"/>
      <c r="B38" s="4"/>
      <c r="C38" s="4"/>
      <c r="D38" s="5"/>
      <c r="E38" s="6"/>
      <c r="F38" s="5"/>
      <c r="G38" s="6"/>
      <c r="H38" s="5"/>
      <c r="I38" s="21"/>
      <c r="J38" s="5"/>
      <c r="K38" s="6"/>
      <c r="L38" s="5"/>
      <c r="M38" s="6"/>
      <c r="N38" s="5"/>
      <c r="O38" s="6"/>
      <c r="P38" s="5"/>
      <c r="Q38" s="6"/>
      <c r="R38" s="5"/>
      <c r="S38" s="6"/>
      <c r="T38" s="5"/>
      <c r="U38" s="21"/>
      <c r="V38" s="5"/>
      <c r="W38" s="6"/>
      <c r="X38" s="5"/>
      <c r="Y38" s="6"/>
      <c r="Z38" s="5"/>
      <c r="AA38" s="6"/>
      <c r="AB38" s="5"/>
      <c r="AC38" s="6"/>
      <c r="AD38" s="5"/>
      <c r="AE38" s="6"/>
      <c r="AF38" s="5"/>
      <c r="AG38" s="21"/>
      <c r="AH38" s="5"/>
      <c r="AI38" s="6"/>
      <c r="AJ38" s="5"/>
      <c r="AK38" s="6"/>
      <c r="AL38" s="5"/>
      <c r="AM38" s="21"/>
      <c r="AN38" s="5"/>
      <c r="AO38" s="6"/>
      <c r="AP38" s="5"/>
      <c r="AQ38" s="6"/>
      <c r="AR38" s="5"/>
      <c r="AS38" s="21"/>
      <c r="AT38" s="5"/>
      <c r="AU38" s="6"/>
      <c r="AV38" s="5"/>
      <c r="AW38" s="6"/>
      <c r="AX38" s="5"/>
      <c r="AY38" s="21"/>
      <c r="AZ38" s="6"/>
      <c r="BA38" s="6"/>
      <c r="BB38" s="6"/>
      <c r="BC38" s="7" t="str">
        <f t="shared" si="26"/>
        <v/>
      </c>
      <c r="BD38" s="7" t="str">
        <f t="shared" si="27"/>
        <v/>
      </c>
      <c r="BE38" s="4"/>
      <c r="BF38" s="16"/>
      <c r="BG38" s="16" t="str">
        <f t="shared" si="2"/>
        <v/>
      </c>
      <c r="BH38" s="16" t="str">
        <f t="shared" si="3"/>
        <v/>
      </c>
      <c r="BI38" s="16" t="str">
        <f t="shared" si="4"/>
        <v/>
      </c>
      <c r="BJ38" s="16" t="str">
        <f t="shared" si="5"/>
        <v/>
      </c>
      <c r="BK38" t="str">
        <f t="shared" si="6"/>
        <v/>
      </c>
      <c r="BL38" t="str">
        <f t="shared" si="7"/>
        <v/>
      </c>
      <c r="BM38" t="str">
        <f t="shared" si="8"/>
        <v/>
      </c>
      <c r="BN38" t="str">
        <f t="shared" si="9"/>
        <v/>
      </c>
      <c r="BO38" t="str">
        <f t="shared" si="10"/>
        <v/>
      </c>
      <c r="BP38" t="str">
        <f t="shared" si="11"/>
        <v/>
      </c>
      <c r="BQ38" t="str">
        <f t="shared" si="12"/>
        <v/>
      </c>
      <c r="BR38" t="str">
        <f t="shared" si="13"/>
        <v/>
      </c>
      <c r="BS38" t="str">
        <f t="shared" si="14"/>
        <v/>
      </c>
      <c r="BT38" t="str">
        <f t="shared" si="15"/>
        <v/>
      </c>
      <c r="BU38" t="str">
        <f t="shared" si="16"/>
        <v/>
      </c>
      <c r="BV38" t="str">
        <f t="shared" si="17"/>
        <v/>
      </c>
      <c r="BW38" t="str">
        <f t="shared" si="18"/>
        <v/>
      </c>
      <c r="BX38" t="str">
        <f t="shared" si="19"/>
        <v/>
      </c>
      <c r="BY38" t="str">
        <f t="shared" si="20"/>
        <v/>
      </c>
      <c r="BZ38" t="str">
        <f t="shared" si="21"/>
        <v/>
      </c>
      <c r="CA38" t="str">
        <f t="shared" si="22"/>
        <v/>
      </c>
      <c r="CB38" t="str">
        <f t="shared" si="23"/>
        <v/>
      </c>
      <c r="CC38" t="str">
        <f t="shared" si="24"/>
        <v/>
      </c>
      <c r="CD38" t="str">
        <f t="shared" si="25"/>
        <v/>
      </c>
    </row>
    <row r="39" spans="1:82" ht="33.6" customHeight="1" x14ac:dyDescent="0.3">
      <c r="A39" s="4"/>
      <c r="B39" s="4"/>
      <c r="C39" s="4"/>
      <c r="D39" s="5"/>
      <c r="E39" s="6"/>
      <c r="F39" s="5"/>
      <c r="G39" s="6"/>
      <c r="H39" s="5"/>
      <c r="I39" s="21"/>
      <c r="J39" s="5"/>
      <c r="K39" s="6"/>
      <c r="L39" s="5"/>
      <c r="M39" s="6"/>
      <c r="N39" s="5"/>
      <c r="O39" s="6"/>
      <c r="P39" s="5"/>
      <c r="Q39" s="6"/>
      <c r="R39" s="5"/>
      <c r="S39" s="6"/>
      <c r="T39" s="5"/>
      <c r="U39" s="21"/>
      <c r="V39" s="5"/>
      <c r="W39" s="6"/>
      <c r="X39" s="5"/>
      <c r="Y39" s="6"/>
      <c r="Z39" s="5"/>
      <c r="AA39" s="6"/>
      <c r="AB39" s="5"/>
      <c r="AC39" s="6"/>
      <c r="AD39" s="5"/>
      <c r="AE39" s="6"/>
      <c r="AF39" s="5"/>
      <c r="AG39" s="21"/>
      <c r="AH39" s="5"/>
      <c r="AI39" s="6"/>
      <c r="AJ39" s="5"/>
      <c r="AK39" s="6"/>
      <c r="AL39" s="5"/>
      <c r="AM39" s="21"/>
      <c r="AN39" s="5"/>
      <c r="AO39" s="6"/>
      <c r="AP39" s="5"/>
      <c r="AQ39" s="6"/>
      <c r="AR39" s="5"/>
      <c r="AS39" s="21"/>
      <c r="AT39" s="5"/>
      <c r="AU39" s="6"/>
      <c r="AV39" s="5"/>
      <c r="AW39" s="6"/>
      <c r="AX39" s="5"/>
      <c r="AY39" s="21"/>
      <c r="AZ39" s="6"/>
      <c r="BA39" s="6"/>
      <c r="BB39" s="6"/>
      <c r="BC39" s="7" t="str">
        <f t="shared" si="26"/>
        <v/>
      </c>
      <c r="BD39" s="7" t="str">
        <f t="shared" si="27"/>
        <v/>
      </c>
      <c r="BE39" s="4"/>
      <c r="BF39" s="16"/>
      <c r="BG39" s="16" t="str">
        <f t="shared" si="2"/>
        <v/>
      </c>
      <c r="BH39" s="16" t="str">
        <f t="shared" si="3"/>
        <v/>
      </c>
      <c r="BI39" s="16" t="str">
        <f t="shared" si="4"/>
        <v/>
      </c>
      <c r="BJ39" s="16" t="str">
        <f t="shared" si="5"/>
        <v/>
      </c>
      <c r="BK39" t="str">
        <f t="shared" si="6"/>
        <v/>
      </c>
      <c r="BL39" t="str">
        <f t="shared" si="7"/>
        <v/>
      </c>
      <c r="BM39" t="str">
        <f t="shared" si="8"/>
        <v/>
      </c>
      <c r="BN39" t="str">
        <f t="shared" si="9"/>
        <v/>
      </c>
      <c r="BO39" t="str">
        <f t="shared" si="10"/>
        <v/>
      </c>
      <c r="BP39" t="str">
        <f t="shared" si="11"/>
        <v/>
      </c>
      <c r="BQ39" t="str">
        <f t="shared" si="12"/>
        <v/>
      </c>
      <c r="BR39" t="str">
        <f t="shared" si="13"/>
        <v/>
      </c>
      <c r="BS39" t="str">
        <f t="shared" si="14"/>
        <v/>
      </c>
      <c r="BT39" t="str">
        <f t="shared" si="15"/>
        <v/>
      </c>
      <c r="BU39" t="str">
        <f t="shared" si="16"/>
        <v/>
      </c>
      <c r="BV39" t="str">
        <f t="shared" si="17"/>
        <v/>
      </c>
      <c r="BW39" t="str">
        <f t="shared" si="18"/>
        <v/>
      </c>
      <c r="BX39" t="str">
        <f t="shared" si="19"/>
        <v/>
      </c>
      <c r="BY39" t="str">
        <f t="shared" si="20"/>
        <v/>
      </c>
      <c r="BZ39" t="str">
        <f t="shared" si="21"/>
        <v/>
      </c>
      <c r="CA39" t="str">
        <f t="shared" si="22"/>
        <v/>
      </c>
      <c r="CB39" t="str">
        <f t="shared" si="23"/>
        <v/>
      </c>
      <c r="CC39" t="str">
        <f t="shared" si="24"/>
        <v/>
      </c>
      <c r="CD39" t="str">
        <f t="shared" si="25"/>
        <v/>
      </c>
    </row>
    <row r="40" spans="1:82" ht="33.6" customHeight="1" x14ac:dyDescent="0.3">
      <c r="A40" s="4"/>
      <c r="B40" s="4"/>
      <c r="C40" s="4"/>
      <c r="D40" s="5"/>
      <c r="E40" s="6"/>
      <c r="F40" s="5"/>
      <c r="G40" s="6"/>
      <c r="H40" s="5"/>
      <c r="I40" s="21"/>
      <c r="J40" s="5"/>
      <c r="K40" s="6"/>
      <c r="L40" s="5"/>
      <c r="M40" s="6"/>
      <c r="N40" s="5"/>
      <c r="O40" s="6"/>
      <c r="P40" s="5"/>
      <c r="Q40" s="6"/>
      <c r="R40" s="5"/>
      <c r="S40" s="6"/>
      <c r="T40" s="5"/>
      <c r="U40" s="21"/>
      <c r="V40" s="5"/>
      <c r="W40" s="6"/>
      <c r="X40" s="5"/>
      <c r="Y40" s="6"/>
      <c r="Z40" s="5"/>
      <c r="AA40" s="6"/>
      <c r="AB40" s="5"/>
      <c r="AC40" s="6"/>
      <c r="AD40" s="5"/>
      <c r="AE40" s="6"/>
      <c r="AF40" s="5"/>
      <c r="AG40" s="21"/>
      <c r="AH40" s="5"/>
      <c r="AI40" s="6"/>
      <c r="AJ40" s="5"/>
      <c r="AK40" s="6"/>
      <c r="AL40" s="5"/>
      <c r="AM40" s="21"/>
      <c r="AN40" s="5"/>
      <c r="AO40" s="6"/>
      <c r="AP40" s="5"/>
      <c r="AQ40" s="6"/>
      <c r="AR40" s="5"/>
      <c r="AS40" s="21"/>
      <c r="AT40" s="5"/>
      <c r="AU40" s="6"/>
      <c r="AV40" s="5"/>
      <c r="AW40" s="6"/>
      <c r="AX40" s="5"/>
      <c r="AY40" s="21"/>
      <c r="AZ40" s="6"/>
      <c r="BA40" s="6"/>
      <c r="BB40" s="6"/>
      <c r="BC40" s="7" t="str">
        <f t="shared" si="26"/>
        <v/>
      </c>
      <c r="BD40" s="7" t="str">
        <f t="shared" si="27"/>
        <v/>
      </c>
      <c r="BE40" s="4"/>
      <c r="BF40" s="16"/>
      <c r="BG40" s="16" t="str">
        <f t="shared" si="2"/>
        <v/>
      </c>
      <c r="BH40" s="16" t="str">
        <f t="shared" si="3"/>
        <v/>
      </c>
      <c r="BI40" s="16" t="str">
        <f t="shared" si="4"/>
        <v/>
      </c>
      <c r="BJ40" s="16" t="str">
        <f t="shared" si="5"/>
        <v/>
      </c>
      <c r="BK40" t="str">
        <f t="shared" si="6"/>
        <v/>
      </c>
      <c r="BL40" t="str">
        <f t="shared" si="7"/>
        <v/>
      </c>
      <c r="BM40" t="str">
        <f t="shared" si="8"/>
        <v/>
      </c>
      <c r="BN40" t="str">
        <f t="shared" si="9"/>
        <v/>
      </c>
      <c r="BO40" t="str">
        <f t="shared" si="10"/>
        <v/>
      </c>
      <c r="BP40" t="str">
        <f t="shared" si="11"/>
        <v/>
      </c>
      <c r="BQ40" t="str">
        <f t="shared" si="12"/>
        <v/>
      </c>
      <c r="BR40" t="str">
        <f t="shared" si="13"/>
        <v/>
      </c>
      <c r="BS40" t="str">
        <f t="shared" si="14"/>
        <v/>
      </c>
      <c r="BT40" t="str">
        <f t="shared" si="15"/>
        <v/>
      </c>
      <c r="BU40" t="str">
        <f t="shared" si="16"/>
        <v/>
      </c>
      <c r="BV40" t="str">
        <f t="shared" si="17"/>
        <v/>
      </c>
      <c r="BW40" t="str">
        <f t="shared" si="18"/>
        <v/>
      </c>
      <c r="BX40" t="str">
        <f t="shared" si="19"/>
        <v/>
      </c>
      <c r="BY40" t="str">
        <f t="shared" si="20"/>
        <v/>
      </c>
      <c r="BZ40" t="str">
        <f t="shared" si="21"/>
        <v/>
      </c>
      <c r="CA40" t="str">
        <f t="shared" si="22"/>
        <v/>
      </c>
      <c r="CB40" t="str">
        <f t="shared" si="23"/>
        <v/>
      </c>
      <c r="CC40" t="str">
        <f t="shared" si="24"/>
        <v/>
      </c>
      <c r="CD40" t="str">
        <f t="shared" si="25"/>
        <v/>
      </c>
    </row>
    <row r="41" spans="1:82" ht="33.6" customHeight="1" x14ac:dyDescent="0.3">
      <c r="A41" s="4"/>
      <c r="B41" s="4"/>
      <c r="C41" s="4"/>
      <c r="D41" s="5"/>
      <c r="E41" s="6"/>
      <c r="F41" s="5"/>
      <c r="G41" s="6"/>
      <c r="H41" s="5"/>
      <c r="I41" s="21"/>
      <c r="J41" s="5"/>
      <c r="K41" s="6"/>
      <c r="L41" s="5"/>
      <c r="M41" s="6"/>
      <c r="N41" s="5"/>
      <c r="O41" s="6"/>
      <c r="P41" s="5"/>
      <c r="Q41" s="6"/>
      <c r="R41" s="5"/>
      <c r="S41" s="6"/>
      <c r="T41" s="5"/>
      <c r="U41" s="21"/>
      <c r="V41" s="5"/>
      <c r="W41" s="6"/>
      <c r="X41" s="5"/>
      <c r="Y41" s="6"/>
      <c r="Z41" s="5"/>
      <c r="AA41" s="6"/>
      <c r="AB41" s="5"/>
      <c r="AC41" s="6"/>
      <c r="AD41" s="5"/>
      <c r="AE41" s="6"/>
      <c r="AF41" s="5"/>
      <c r="AG41" s="21"/>
      <c r="AH41" s="5"/>
      <c r="AI41" s="6"/>
      <c r="AJ41" s="5"/>
      <c r="AK41" s="6"/>
      <c r="AL41" s="5"/>
      <c r="AM41" s="21"/>
      <c r="AN41" s="5"/>
      <c r="AO41" s="6"/>
      <c r="AP41" s="5"/>
      <c r="AQ41" s="6"/>
      <c r="AR41" s="5"/>
      <c r="AS41" s="21"/>
      <c r="AT41" s="5"/>
      <c r="AU41" s="6"/>
      <c r="AV41" s="5"/>
      <c r="AW41" s="6"/>
      <c r="AX41" s="5"/>
      <c r="AY41" s="21"/>
      <c r="AZ41" s="6"/>
      <c r="BA41" s="6"/>
      <c r="BB41" s="6"/>
      <c r="BC41" s="7" t="str">
        <f t="shared" si="26"/>
        <v/>
      </c>
      <c r="BD41" s="7" t="str">
        <f t="shared" si="27"/>
        <v/>
      </c>
      <c r="BE41" s="4"/>
      <c r="BF41" s="16"/>
      <c r="BG41" s="16" t="str">
        <f t="shared" si="2"/>
        <v/>
      </c>
      <c r="BH41" s="16" t="str">
        <f t="shared" si="3"/>
        <v/>
      </c>
      <c r="BI41" s="16" t="str">
        <f t="shared" si="4"/>
        <v/>
      </c>
      <c r="BJ41" s="16" t="str">
        <f t="shared" si="5"/>
        <v/>
      </c>
      <c r="BK41" t="str">
        <f t="shared" si="6"/>
        <v/>
      </c>
      <c r="BL41" t="str">
        <f t="shared" si="7"/>
        <v/>
      </c>
      <c r="BM41" t="str">
        <f t="shared" si="8"/>
        <v/>
      </c>
      <c r="BN41" t="str">
        <f t="shared" si="9"/>
        <v/>
      </c>
      <c r="BO41" t="str">
        <f t="shared" si="10"/>
        <v/>
      </c>
      <c r="BP41" t="str">
        <f t="shared" si="11"/>
        <v/>
      </c>
      <c r="BQ41" t="str">
        <f t="shared" si="12"/>
        <v/>
      </c>
      <c r="BR41" t="str">
        <f t="shared" si="13"/>
        <v/>
      </c>
      <c r="BS41" t="str">
        <f t="shared" si="14"/>
        <v/>
      </c>
      <c r="BT41" t="str">
        <f t="shared" si="15"/>
        <v/>
      </c>
      <c r="BU41" t="str">
        <f t="shared" si="16"/>
        <v/>
      </c>
      <c r="BV41" t="str">
        <f t="shared" si="17"/>
        <v/>
      </c>
      <c r="BW41" t="str">
        <f t="shared" si="18"/>
        <v/>
      </c>
      <c r="BX41" t="str">
        <f t="shared" si="19"/>
        <v/>
      </c>
      <c r="BY41" t="str">
        <f t="shared" si="20"/>
        <v/>
      </c>
      <c r="BZ41" t="str">
        <f t="shared" si="21"/>
        <v/>
      </c>
      <c r="CA41" t="str">
        <f t="shared" si="22"/>
        <v/>
      </c>
      <c r="CB41" t="str">
        <f t="shared" si="23"/>
        <v/>
      </c>
      <c r="CC41" t="str">
        <f t="shared" si="24"/>
        <v/>
      </c>
      <c r="CD41" t="str">
        <f t="shared" si="25"/>
        <v/>
      </c>
    </row>
    <row r="42" spans="1:82" ht="33.6" customHeight="1" x14ac:dyDescent="0.3">
      <c r="A42" s="4"/>
      <c r="B42" s="4"/>
      <c r="C42" s="4"/>
      <c r="D42" s="5"/>
      <c r="E42" s="6"/>
      <c r="F42" s="5"/>
      <c r="G42" s="6"/>
      <c r="H42" s="5"/>
      <c r="I42" s="21"/>
      <c r="J42" s="5"/>
      <c r="K42" s="6"/>
      <c r="L42" s="5"/>
      <c r="M42" s="6"/>
      <c r="N42" s="5"/>
      <c r="O42" s="6"/>
      <c r="P42" s="5"/>
      <c r="Q42" s="6"/>
      <c r="R42" s="5"/>
      <c r="S42" s="6"/>
      <c r="T42" s="5"/>
      <c r="U42" s="21"/>
      <c r="V42" s="5"/>
      <c r="W42" s="6"/>
      <c r="X42" s="5"/>
      <c r="Y42" s="6"/>
      <c r="Z42" s="5"/>
      <c r="AA42" s="6"/>
      <c r="AB42" s="5"/>
      <c r="AC42" s="6"/>
      <c r="AD42" s="5"/>
      <c r="AE42" s="6"/>
      <c r="AF42" s="5"/>
      <c r="AG42" s="21"/>
      <c r="AH42" s="5"/>
      <c r="AI42" s="6"/>
      <c r="AJ42" s="5"/>
      <c r="AK42" s="6"/>
      <c r="AL42" s="5"/>
      <c r="AM42" s="21"/>
      <c r="AN42" s="5"/>
      <c r="AO42" s="6"/>
      <c r="AP42" s="5"/>
      <c r="AQ42" s="6"/>
      <c r="AR42" s="5"/>
      <c r="AS42" s="21"/>
      <c r="AT42" s="5"/>
      <c r="AU42" s="6"/>
      <c r="AV42" s="5"/>
      <c r="AW42" s="6"/>
      <c r="AX42" s="5"/>
      <c r="AY42" s="21"/>
      <c r="AZ42" s="6"/>
      <c r="BA42" s="6"/>
      <c r="BB42" s="6"/>
      <c r="BC42" s="7" t="str">
        <f t="shared" si="26"/>
        <v/>
      </c>
      <c r="BD42" s="7" t="str">
        <f t="shared" si="27"/>
        <v/>
      </c>
      <c r="BE42" s="4"/>
      <c r="BF42" s="16"/>
      <c r="BG42" s="16" t="str">
        <f t="shared" si="2"/>
        <v/>
      </c>
      <c r="BH42" s="16" t="str">
        <f t="shared" si="3"/>
        <v/>
      </c>
      <c r="BI42" s="16" t="str">
        <f t="shared" si="4"/>
        <v/>
      </c>
      <c r="BJ42" s="16" t="str">
        <f t="shared" si="5"/>
        <v/>
      </c>
      <c r="BK42" t="str">
        <f t="shared" si="6"/>
        <v/>
      </c>
      <c r="BL42" t="str">
        <f t="shared" si="7"/>
        <v/>
      </c>
      <c r="BM42" t="str">
        <f t="shared" si="8"/>
        <v/>
      </c>
      <c r="BN42" t="str">
        <f t="shared" si="9"/>
        <v/>
      </c>
      <c r="BO42" t="str">
        <f t="shared" si="10"/>
        <v/>
      </c>
      <c r="BP42" t="str">
        <f t="shared" si="11"/>
        <v/>
      </c>
      <c r="BQ42" t="str">
        <f t="shared" si="12"/>
        <v/>
      </c>
      <c r="BR42" t="str">
        <f t="shared" si="13"/>
        <v/>
      </c>
      <c r="BS42" t="str">
        <f t="shared" si="14"/>
        <v/>
      </c>
      <c r="BT42" t="str">
        <f t="shared" si="15"/>
        <v/>
      </c>
      <c r="BU42" t="str">
        <f t="shared" si="16"/>
        <v/>
      </c>
      <c r="BV42" t="str">
        <f t="shared" si="17"/>
        <v/>
      </c>
      <c r="BW42" t="str">
        <f t="shared" si="18"/>
        <v/>
      </c>
      <c r="BX42" t="str">
        <f t="shared" si="19"/>
        <v/>
      </c>
      <c r="BY42" t="str">
        <f t="shared" si="20"/>
        <v/>
      </c>
      <c r="BZ42" t="str">
        <f t="shared" si="21"/>
        <v/>
      </c>
      <c r="CA42" t="str">
        <f t="shared" si="22"/>
        <v/>
      </c>
      <c r="CB42" t="str">
        <f t="shared" si="23"/>
        <v/>
      </c>
      <c r="CC42" t="str">
        <f t="shared" si="24"/>
        <v/>
      </c>
      <c r="CD42" t="str">
        <f t="shared" si="25"/>
        <v/>
      </c>
    </row>
    <row r="43" spans="1:82" ht="33.6" customHeight="1" x14ac:dyDescent="0.3">
      <c r="A43" s="4"/>
      <c r="B43" s="4"/>
      <c r="C43" s="4"/>
      <c r="D43" s="5"/>
      <c r="E43" s="6"/>
      <c r="F43" s="5"/>
      <c r="G43" s="6"/>
      <c r="H43" s="5"/>
      <c r="I43" s="21"/>
      <c r="J43" s="5"/>
      <c r="K43" s="6"/>
      <c r="L43" s="5"/>
      <c r="M43" s="6"/>
      <c r="N43" s="5"/>
      <c r="O43" s="6"/>
      <c r="P43" s="5"/>
      <c r="Q43" s="6"/>
      <c r="R43" s="5"/>
      <c r="S43" s="6"/>
      <c r="T43" s="5"/>
      <c r="U43" s="21"/>
      <c r="V43" s="5"/>
      <c r="W43" s="6"/>
      <c r="X43" s="5"/>
      <c r="Y43" s="6"/>
      <c r="Z43" s="5"/>
      <c r="AA43" s="6"/>
      <c r="AB43" s="5"/>
      <c r="AC43" s="6"/>
      <c r="AD43" s="5"/>
      <c r="AE43" s="6"/>
      <c r="AF43" s="5"/>
      <c r="AG43" s="21"/>
      <c r="AH43" s="5"/>
      <c r="AI43" s="6"/>
      <c r="AJ43" s="5"/>
      <c r="AK43" s="6"/>
      <c r="AL43" s="5"/>
      <c r="AM43" s="21"/>
      <c r="AN43" s="5"/>
      <c r="AO43" s="6"/>
      <c r="AP43" s="5"/>
      <c r="AQ43" s="6"/>
      <c r="AR43" s="5"/>
      <c r="AS43" s="21"/>
      <c r="AT43" s="5"/>
      <c r="AU43" s="6"/>
      <c r="AV43" s="5"/>
      <c r="AW43" s="6"/>
      <c r="AX43" s="5"/>
      <c r="AY43" s="21"/>
      <c r="AZ43" s="6"/>
      <c r="BA43" s="6"/>
      <c r="BB43" s="6"/>
      <c r="BC43" s="7" t="str">
        <f t="shared" si="26"/>
        <v/>
      </c>
      <c r="BD43" s="7" t="str">
        <f t="shared" si="27"/>
        <v/>
      </c>
      <c r="BE43" s="4"/>
      <c r="BF43" s="16"/>
      <c r="BG43" s="16" t="str">
        <f t="shared" si="2"/>
        <v/>
      </c>
      <c r="BH43" s="16" t="str">
        <f t="shared" si="3"/>
        <v/>
      </c>
      <c r="BI43" s="16" t="str">
        <f t="shared" si="4"/>
        <v/>
      </c>
      <c r="BJ43" s="16" t="str">
        <f t="shared" si="5"/>
        <v/>
      </c>
      <c r="BK43" t="str">
        <f t="shared" si="6"/>
        <v/>
      </c>
      <c r="BL43" t="str">
        <f t="shared" si="7"/>
        <v/>
      </c>
      <c r="BM43" t="str">
        <f t="shared" si="8"/>
        <v/>
      </c>
      <c r="BN43" t="str">
        <f t="shared" si="9"/>
        <v/>
      </c>
      <c r="BO43" t="str">
        <f t="shared" si="10"/>
        <v/>
      </c>
      <c r="BP43" t="str">
        <f t="shared" si="11"/>
        <v/>
      </c>
      <c r="BQ43" t="str">
        <f t="shared" si="12"/>
        <v/>
      </c>
      <c r="BR43" t="str">
        <f t="shared" si="13"/>
        <v/>
      </c>
      <c r="BS43" t="str">
        <f t="shared" si="14"/>
        <v/>
      </c>
      <c r="BT43" t="str">
        <f t="shared" si="15"/>
        <v/>
      </c>
      <c r="BU43" t="str">
        <f t="shared" si="16"/>
        <v/>
      </c>
      <c r="BV43" t="str">
        <f t="shared" si="17"/>
        <v/>
      </c>
      <c r="BW43" t="str">
        <f t="shared" si="18"/>
        <v/>
      </c>
      <c r="BX43" t="str">
        <f t="shared" si="19"/>
        <v/>
      </c>
      <c r="BY43" t="str">
        <f t="shared" si="20"/>
        <v/>
      </c>
      <c r="BZ43" t="str">
        <f t="shared" si="21"/>
        <v/>
      </c>
      <c r="CA43" t="str">
        <f t="shared" si="22"/>
        <v/>
      </c>
      <c r="CB43" t="str">
        <f t="shared" si="23"/>
        <v/>
      </c>
      <c r="CC43" t="str">
        <f t="shared" si="24"/>
        <v/>
      </c>
      <c r="CD43" t="str">
        <f t="shared" si="25"/>
        <v/>
      </c>
    </row>
    <row r="44" spans="1:82" ht="33.6" customHeight="1" x14ac:dyDescent="0.3">
      <c r="A44" s="4"/>
      <c r="B44" s="4"/>
      <c r="C44" s="4"/>
      <c r="D44" s="5"/>
      <c r="E44" s="6"/>
      <c r="F44" s="5"/>
      <c r="G44" s="6"/>
      <c r="H44" s="5"/>
      <c r="I44" s="21"/>
      <c r="J44" s="5"/>
      <c r="K44" s="6"/>
      <c r="L44" s="5"/>
      <c r="M44" s="6"/>
      <c r="N44" s="5"/>
      <c r="O44" s="6"/>
      <c r="P44" s="5"/>
      <c r="Q44" s="6"/>
      <c r="R44" s="5"/>
      <c r="S44" s="6"/>
      <c r="T44" s="5"/>
      <c r="U44" s="21"/>
      <c r="V44" s="5"/>
      <c r="W44" s="6"/>
      <c r="X44" s="5"/>
      <c r="Y44" s="6"/>
      <c r="Z44" s="5"/>
      <c r="AA44" s="6"/>
      <c r="AB44" s="5"/>
      <c r="AC44" s="6"/>
      <c r="AD44" s="5"/>
      <c r="AE44" s="6"/>
      <c r="AF44" s="5"/>
      <c r="AG44" s="21"/>
      <c r="AH44" s="5"/>
      <c r="AI44" s="6"/>
      <c r="AJ44" s="5"/>
      <c r="AK44" s="6"/>
      <c r="AL44" s="5"/>
      <c r="AM44" s="21"/>
      <c r="AN44" s="5"/>
      <c r="AO44" s="6"/>
      <c r="AP44" s="5"/>
      <c r="AQ44" s="6"/>
      <c r="AR44" s="5"/>
      <c r="AS44" s="21"/>
      <c r="AT44" s="5"/>
      <c r="AU44" s="6"/>
      <c r="AV44" s="5"/>
      <c r="AW44" s="6"/>
      <c r="AX44" s="5"/>
      <c r="AY44" s="21"/>
      <c r="AZ44" s="6"/>
      <c r="BA44" s="6"/>
      <c r="BB44" s="6"/>
      <c r="BC44" s="7" t="str">
        <f t="shared" si="26"/>
        <v/>
      </c>
      <c r="BD44" s="7" t="str">
        <f t="shared" si="27"/>
        <v/>
      </c>
      <c r="BE44" s="4"/>
      <c r="BF44" s="16"/>
      <c r="BG44" s="16" t="str">
        <f t="shared" si="2"/>
        <v/>
      </c>
      <c r="BH44" s="16" t="str">
        <f t="shared" si="3"/>
        <v/>
      </c>
      <c r="BI44" s="16" t="str">
        <f t="shared" si="4"/>
        <v/>
      </c>
      <c r="BJ44" s="16" t="str">
        <f t="shared" si="5"/>
        <v/>
      </c>
      <c r="BK44" t="str">
        <f t="shared" si="6"/>
        <v/>
      </c>
      <c r="BL44" t="str">
        <f t="shared" si="7"/>
        <v/>
      </c>
      <c r="BM44" t="str">
        <f t="shared" si="8"/>
        <v/>
      </c>
      <c r="BN44" t="str">
        <f t="shared" si="9"/>
        <v/>
      </c>
      <c r="BO44" t="str">
        <f t="shared" si="10"/>
        <v/>
      </c>
      <c r="BP44" t="str">
        <f t="shared" si="11"/>
        <v/>
      </c>
      <c r="BQ44" t="str">
        <f t="shared" si="12"/>
        <v/>
      </c>
      <c r="BR44" t="str">
        <f t="shared" si="13"/>
        <v/>
      </c>
      <c r="BS44" t="str">
        <f t="shared" si="14"/>
        <v/>
      </c>
      <c r="BT44" t="str">
        <f t="shared" si="15"/>
        <v/>
      </c>
      <c r="BU44" t="str">
        <f t="shared" si="16"/>
        <v/>
      </c>
      <c r="BV44" t="str">
        <f t="shared" si="17"/>
        <v/>
      </c>
      <c r="BW44" t="str">
        <f t="shared" si="18"/>
        <v/>
      </c>
      <c r="BX44" t="str">
        <f t="shared" si="19"/>
        <v/>
      </c>
      <c r="BY44" t="str">
        <f t="shared" si="20"/>
        <v/>
      </c>
      <c r="BZ44" t="str">
        <f t="shared" si="21"/>
        <v/>
      </c>
      <c r="CA44" t="str">
        <f t="shared" si="22"/>
        <v/>
      </c>
      <c r="CB44" t="str">
        <f t="shared" si="23"/>
        <v/>
      </c>
      <c r="CC44" t="str">
        <f t="shared" si="24"/>
        <v/>
      </c>
      <c r="CD44" t="str">
        <f t="shared" si="25"/>
        <v/>
      </c>
    </row>
    <row r="45" spans="1:82" ht="33.6" customHeight="1" x14ac:dyDescent="0.3">
      <c r="A45" s="4"/>
      <c r="B45" s="4"/>
      <c r="C45" s="4"/>
      <c r="D45" s="5"/>
      <c r="E45" s="6"/>
      <c r="F45" s="5"/>
      <c r="G45" s="6"/>
      <c r="H45" s="5"/>
      <c r="I45" s="21"/>
      <c r="J45" s="5"/>
      <c r="K45" s="6"/>
      <c r="L45" s="5"/>
      <c r="M45" s="6"/>
      <c r="N45" s="5"/>
      <c r="O45" s="6"/>
      <c r="P45" s="5"/>
      <c r="Q45" s="6"/>
      <c r="R45" s="5"/>
      <c r="S45" s="6"/>
      <c r="T45" s="5"/>
      <c r="U45" s="21"/>
      <c r="V45" s="5"/>
      <c r="W45" s="6"/>
      <c r="X45" s="5"/>
      <c r="Y45" s="6"/>
      <c r="Z45" s="5"/>
      <c r="AA45" s="6"/>
      <c r="AB45" s="5"/>
      <c r="AC45" s="6"/>
      <c r="AD45" s="5"/>
      <c r="AE45" s="6"/>
      <c r="AF45" s="5"/>
      <c r="AG45" s="21"/>
      <c r="AH45" s="5"/>
      <c r="AI45" s="6"/>
      <c r="AJ45" s="5"/>
      <c r="AK45" s="6"/>
      <c r="AL45" s="5"/>
      <c r="AM45" s="21"/>
      <c r="AN45" s="5"/>
      <c r="AO45" s="6"/>
      <c r="AP45" s="5"/>
      <c r="AQ45" s="6"/>
      <c r="AR45" s="5"/>
      <c r="AS45" s="21"/>
      <c r="AT45" s="5"/>
      <c r="AU45" s="6"/>
      <c r="AV45" s="5"/>
      <c r="AW45" s="6"/>
      <c r="AX45" s="5"/>
      <c r="AY45" s="21"/>
      <c r="AZ45" s="6"/>
      <c r="BA45" s="6"/>
      <c r="BB45" s="6"/>
      <c r="BC45" s="7" t="str">
        <f t="shared" si="26"/>
        <v/>
      </c>
      <c r="BD45" s="7" t="str">
        <f t="shared" si="27"/>
        <v/>
      </c>
      <c r="BE45" s="4"/>
      <c r="BF45" s="16"/>
      <c r="BG45" s="16" t="str">
        <f t="shared" si="2"/>
        <v/>
      </c>
      <c r="BH45" s="16" t="str">
        <f t="shared" si="3"/>
        <v/>
      </c>
      <c r="BI45" s="16" t="str">
        <f t="shared" si="4"/>
        <v/>
      </c>
      <c r="BJ45" s="16" t="str">
        <f t="shared" si="5"/>
        <v/>
      </c>
      <c r="BK45" t="str">
        <f t="shared" si="6"/>
        <v/>
      </c>
      <c r="BL45" t="str">
        <f t="shared" si="7"/>
        <v/>
      </c>
      <c r="BM45" t="str">
        <f t="shared" si="8"/>
        <v/>
      </c>
      <c r="BN45" t="str">
        <f t="shared" si="9"/>
        <v/>
      </c>
      <c r="BO45" t="str">
        <f t="shared" si="10"/>
        <v/>
      </c>
      <c r="BP45" t="str">
        <f t="shared" si="11"/>
        <v/>
      </c>
      <c r="BQ45" t="str">
        <f t="shared" si="12"/>
        <v/>
      </c>
      <c r="BR45" t="str">
        <f t="shared" si="13"/>
        <v/>
      </c>
      <c r="BS45" t="str">
        <f t="shared" si="14"/>
        <v/>
      </c>
      <c r="BT45" t="str">
        <f t="shared" si="15"/>
        <v/>
      </c>
      <c r="BU45" t="str">
        <f t="shared" si="16"/>
        <v/>
      </c>
      <c r="BV45" t="str">
        <f t="shared" si="17"/>
        <v/>
      </c>
      <c r="BW45" t="str">
        <f t="shared" si="18"/>
        <v/>
      </c>
      <c r="BX45" t="str">
        <f t="shared" si="19"/>
        <v/>
      </c>
      <c r="BY45" t="str">
        <f t="shared" si="20"/>
        <v/>
      </c>
      <c r="BZ45" t="str">
        <f t="shared" si="21"/>
        <v/>
      </c>
      <c r="CA45" t="str">
        <f t="shared" si="22"/>
        <v/>
      </c>
      <c r="CB45" t="str">
        <f t="shared" si="23"/>
        <v/>
      </c>
      <c r="CC45" t="str">
        <f t="shared" si="24"/>
        <v/>
      </c>
      <c r="CD45" t="str">
        <f t="shared" si="25"/>
        <v/>
      </c>
    </row>
    <row r="46" spans="1:82" ht="33.6" customHeight="1" x14ac:dyDescent="0.3">
      <c r="A46" s="4"/>
      <c r="B46" s="4"/>
      <c r="C46" s="4"/>
      <c r="D46" s="5"/>
      <c r="E46" s="6"/>
      <c r="F46" s="5"/>
      <c r="G46" s="6"/>
      <c r="H46" s="5"/>
      <c r="I46" s="21"/>
      <c r="J46" s="5"/>
      <c r="K46" s="6"/>
      <c r="L46" s="5"/>
      <c r="M46" s="6"/>
      <c r="N46" s="5"/>
      <c r="O46" s="6"/>
      <c r="P46" s="5"/>
      <c r="Q46" s="6"/>
      <c r="R46" s="5"/>
      <c r="S46" s="6"/>
      <c r="T46" s="5"/>
      <c r="U46" s="21"/>
      <c r="V46" s="5"/>
      <c r="W46" s="6"/>
      <c r="X46" s="5"/>
      <c r="Y46" s="6"/>
      <c r="Z46" s="5"/>
      <c r="AA46" s="6"/>
      <c r="AB46" s="5"/>
      <c r="AC46" s="6"/>
      <c r="AD46" s="5"/>
      <c r="AE46" s="6"/>
      <c r="AF46" s="5"/>
      <c r="AG46" s="21"/>
      <c r="AH46" s="5"/>
      <c r="AI46" s="6"/>
      <c r="AJ46" s="5"/>
      <c r="AK46" s="6"/>
      <c r="AL46" s="5"/>
      <c r="AM46" s="21"/>
      <c r="AN46" s="5"/>
      <c r="AO46" s="6"/>
      <c r="AP46" s="5"/>
      <c r="AQ46" s="6"/>
      <c r="AR46" s="5"/>
      <c r="AS46" s="21"/>
      <c r="AT46" s="5"/>
      <c r="AU46" s="6"/>
      <c r="AV46" s="5"/>
      <c r="AW46" s="6"/>
      <c r="AX46" s="5"/>
      <c r="AY46" s="21"/>
      <c r="AZ46" s="6"/>
      <c r="BA46" s="6"/>
      <c r="BB46" s="6"/>
      <c r="BC46" s="7" t="str">
        <f t="shared" si="26"/>
        <v/>
      </c>
      <c r="BD46" s="7" t="str">
        <f t="shared" si="27"/>
        <v/>
      </c>
      <c r="BE46" s="4"/>
      <c r="BF46" s="16"/>
      <c r="BG46" s="16" t="str">
        <f t="shared" si="2"/>
        <v/>
      </c>
      <c r="BH46" s="16" t="str">
        <f t="shared" si="3"/>
        <v/>
      </c>
      <c r="BI46" s="16" t="str">
        <f t="shared" si="4"/>
        <v/>
      </c>
      <c r="BJ46" s="16" t="str">
        <f t="shared" si="5"/>
        <v/>
      </c>
      <c r="BK46" t="str">
        <f t="shared" si="6"/>
        <v/>
      </c>
      <c r="BL46" t="str">
        <f t="shared" si="7"/>
        <v/>
      </c>
      <c r="BM46" t="str">
        <f t="shared" si="8"/>
        <v/>
      </c>
      <c r="BN46" t="str">
        <f t="shared" si="9"/>
        <v/>
      </c>
      <c r="BO46" t="str">
        <f t="shared" si="10"/>
        <v/>
      </c>
      <c r="BP46" t="str">
        <f t="shared" si="11"/>
        <v/>
      </c>
      <c r="BQ46" t="str">
        <f t="shared" si="12"/>
        <v/>
      </c>
      <c r="BR46" t="str">
        <f t="shared" si="13"/>
        <v/>
      </c>
      <c r="BS46" t="str">
        <f t="shared" si="14"/>
        <v/>
      </c>
      <c r="BT46" t="str">
        <f t="shared" si="15"/>
        <v/>
      </c>
      <c r="BU46" t="str">
        <f t="shared" si="16"/>
        <v/>
      </c>
      <c r="BV46" t="str">
        <f t="shared" si="17"/>
        <v/>
      </c>
      <c r="BW46" t="str">
        <f t="shared" si="18"/>
        <v/>
      </c>
      <c r="BX46" t="str">
        <f t="shared" si="19"/>
        <v/>
      </c>
      <c r="BY46" t="str">
        <f t="shared" si="20"/>
        <v/>
      </c>
      <c r="BZ46" t="str">
        <f t="shared" si="21"/>
        <v/>
      </c>
      <c r="CA46" t="str">
        <f t="shared" si="22"/>
        <v/>
      </c>
      <c r="CB46" t="str">
        <f t="shared" si="23"/>
        <v/>
      </c>
      <c r="CC46" t="str">
        <f t="shared" si="24"/>
        <v/>
      </c>
      <c r="CD46" t="str">
        <f t="shared" si="25"/>
        <v/>
      </c>
    </row>
    <row r="47" spans="1:82" ht="33.6" customHeight="1" x14ac:dyDescent="0.3">
      <c r="A47" s="4"/>
      <c r="B47" s="4"/>
      <c r="C47" s="4"/>
      <c r="D47" s="5"/>
      <c r="E47" s="6"/>
      <c r="F47" s="5"/>
      <c r="G47" s="6"/>
      <c r="H47" s="5"/>
      <c r="I47" s="21"/>
      <c r="J47" s="5"/>
      <c r="K47" s="6"/>
      <c r="L47" s="5"/>
      <c r="M47" s="6"/>
      <c r="N47" s="5"/>
      <c r="O47" s="6"/>
      <c r="P47" s="5"/>
      <c r="Q47" s="6"/>
      <c r="R47" s="5"/>
      <c r="S47" s="6"/>
      <c r="T47" s="5"/>
      <c r="U47" s="21"/>
      <c r="V47" s="5"/>
      <c r="W47" s="6"/>
      <c r="X47" s="5"/>
      <c r="Y47" s="6"/>
      <c r="Z47" s="5"/>
      <c r="AA47" s="6"/>
      <c r="AB47" s="5"/>
      <c r="AC47" s="6"/>
      <c r="AD47" s="5"/>
      <c r="AE47" s="6"/>
      <c r="AF47" s="5"/>
      <c r="AG47" s="21"/>
      <c r="AH47" s="5"/>
      <c r="AI47" s="6"/>
      <c r="AJ47" s="5"/>
      <c r="AK47" s="6"/>
      <c r="AL47" s="5"/>
      <c r="AM47" s="21"/>
      <c r="AN47" s="5"/>
      <c r="AO47" s="6"/>
      <c r="AP47" s="5"/>
      <c r="AQ47" s="6"/>
      <c r="AR47" s="5"/>
      <c r="AS47" s="21"/>
      <c r="AT47" s="5"/>
      <c r="AU47" s="6"/>
      <c r="AV47" s="5"/>
      <c r="AW47" s="6"/>
      <c r="AX47" s="5"/>
      <c r="AY47" s="21"/>
      <c r="AZ47" s="6"/>
      <c r="BA47" s="6"/>
      <c r="BB47" s="6"/>
      <c r="BC47" s="7" t="str">
        <f t="shared" si="26"/>
        <v/>
      </c>
      <c r="BD47" s="7" t="str">
        <f t="shared" si="27"/>
        <v/>
      </c>
      <c r="BE47" s="4"/>
      <c r="BF47" s="16"/>
      <c r="BG47" s="16" t="str">
        <f t="shared" si="2"/>
        <v/>
      </c>
      <c r="BH47" s="16" t="str">
        <f t="shared" si="3"/>
        <v/>
      </c>
      <c r="BI47" s="16" t="str">
        <f t="shared" si="4"/>
        <v/>
      </c>
      <c r="BJ47" s="16" t="str">
        <f t="shared" si="5"/>
        <v/>
      </c>
      <c r="BK47" t="str">
        <f t="shared" si="6"/>
        <v/>
      </c>
      <c r="BL47" t="str">
        <f t="shared" si="7"/>
        <v/>
      </c>
      <c r="BM47" t="str">
        <f t="shared" si="8"/>
        <v/>
      </c>
      <c r="BN47" t="str">
        <f t="shared" si="9"/>
        <v/>
      </c>
      <c r="BO47" t="str">
        <f t="shared" si="10"/>
        <v/>
      </c>
      <c r="BP47" t="str">
        <f t="shared" si="11"/>
        <v/>
      </c>
      <c r="BQ47" t="str">
        <f t="shared" si="12"/>
        <v/>
      </c>
      <c r="BR47" t="str">
        <f t="shared" si="13"/>
        <v/>
      </c>
      <c r="BS47" t="str">
        <f t="shared" si="14"/>
        <v/>
      </c>
      <c r="BT47" t="str">
        <f t="shared" si="15"/>
        <v/>
      </c>
      <c r="BU47" t="str">
        <f t="shared" si="16"/>
        <v/>
      </c>
      <c r="BV47" t="str">
        <f t="shared" si="17"/>
        <v/>
      </c>
      <c r="BW47" t="str">
        <f t="shared" si="18"/>
        <v/>
      </c>
      <c r="BX47" t="str">
        <f t="shared" si="19"/>
        <v/>
      </c>
      <c r="BY47" t="str">
        <f t="shared" si="20"/>
        <v/>
      </c>
      <c r="BZ47" t="str">
        <f t="shared" si="21"/>
        <v/>
      </c>
      <c r="CA47" t="str">
        <f t="shared" si="22"/>
        <v/>
      </c>
      <c r="CB47" t="str">
        <f t="shared" si="23"/>
        <v/>
      </c>
      <c r="CC47" t="str">
        <f t="shared" si="24"/>
        <v/>
      </c>
      <c r="CD47" t="str">
        <f t="shared" si="25"/>
        <v/>
      </c>
    </row>
    <row r="48" spans="1:82" ht="33.6" customHeight="1" x14ac:dyDescent="0.3">
      <c r="A48" s="4"/>
      <c r="B48" s="4"/>
      <c r="C48" s="4"/>
      <c r="D48" s="5"/>
      <c r="E48" s="6"/>
      <c r="F48" s="5"/>
      <c r="G48" s="6"/>
      <c r="H48" s="5"/>
      <c r="I48" s="21"/>
      <c r="J48" s="5"/>
      <c r="K48" s="6"/>
      <c r="L48" s="5"/>
      <c r="M48" s="6"/>
      <c r="N48" s="5"/>
      <c r="O48" s="6"/>
      <c r="P48" s="5"/>
      <c r="Q48" s="6"/>
      <c r="R48" s="5"/>
      <c r="S48" s="6"/>
      <c r="T48" s="5"/>
      <c r="U48" s="21"/>
      <c r="V48" s="5"/>
      <c r="W48" s="6"/>
      <c r="X48" s="5"/>
      <c r="Y48" s="6"/>
      <c r="Z48" s="5"/>
      <c r="AA48" s="6"/>
      <c r="AB48" s="5"/>
      <c r="AC48" s="6"/>
      <c r="AD48" s="5"/>
      <c r="AE48" s="6"/>
      <c r="AF48" s="5"/>
      <c r="AG48" s="21"/>
      <c r="AH48" s="5"/>
      <c r="AI48" s="6"/>
      <c r="AJ48" s="5"/>
      <c r="AK48" s="6"/>
      <c r="AL48" s="5"/>
      <c r="AM48" s="21"/>
      <c r="AN48" s="5"/>
      <c r="AO48" s="6"/>
      <c r="AP48" s="5"/>
      <c r="AQ48" s="6"/>
      <c r="AR48" s="5"/>
      <c r="AS48" s="21"/>
      <c r="AT48" s="5"/>
      <c r="AU48" s="6"/>
      <c r="AV48" s="5"/>
      <c r="AW48" s="6"/>
      <c r="AX48" s="5"/>
      <c r="AY48" s="21"/>
      <c r="AZ48" s="6"/>
      <c r="BA48" s="6"/>
      <c r="BB48" s="6"/>
      <c r="BC48" s="7" t="str">
        <f t="shared" si="26"/>
        <v/>
      </c>
      <c r="BD48" s="7" t="str">
        <f t="shared" si="27"/>
        <v/>
      </c>
      <c r="BE48" s="4"/>
      <c r="BF48" s="16"/>
      <c r="BG48" s="16" t="str">
        <f t="shared" si="2"/>
        <v/>
      </c>
      <c r="BH48" s="16" t="str">
        <f t="shared" si="3"/>
        <v/>
      </c>
      <c r="BI48" s="16" t="str">
        <f t="shared" si="4"/>
        <v/>
      </c>
      <c r="BJ48" s="16" t="str">
        <f t="shared" si="5"/>
        <v/>
      </c>
      <c r="BK48" t="str">
        <f t="shared" si="6"/>
        <v/>
      </c>
      <c r="BL48" t="str">
        <f t="shared" si="7"/>
        <v/>
      </c>
      <c r="BM48" t="str">
        <f t="shared" si="8"/>
        <v/>
      </c>
      <c r="BN48" t="str">
        <f t="shared" si="9"/>
        <v/>
      </c>
      <c r="BO48" t="str">
        <f t="shared" si="10"/>
        <v/>
      </c>
      <c r="BP48" t="str">
        <f t="shared" si="11"/>
        <v/>
      </c>
      <c r="BQ48" t="str">
        <f t="shared" si="12"/>
        <v/>
      </c>
      <c r="BR48" t="str">
        <f t="shared" si="13"/>
        <v/>
      </c>
      <c r="BS48" t="str">
        <f t="shared" si="14"/>
        <v/>
      </c>
      <c r="BT48" t="str">
        <f t="shared" si="15"/>
        <v/>
      </c>
      <c r="BU48" t="str">
        <f t="shared" si="16"/>
        <v/>
      </c>
      <c r="BV48" t="str">
        <f t="shared" si="17"/>
        <v/>
      </c>
      <c r="BW48" t="str">
        <f t="shared" si="18"/>
        <v/>
      </c>
      <c r="BX48" t="str">
        <f t="shared" si="19"/>
        <v/>
      </c>
      <c r="BY48" t="str">
        <f t="shared" si="20"/>
        <v/>
      </c>
      <c r="BZ48" t="str">
        <f t="shared" si="21"/>
        <v/>
      </c>
      <c r="CA48" t="str">
        <f t="shared" si="22"/>
        <v/>
      </c>
      <c r="CB48" t="str">
        <f t="shared" si="23"/>
        <v/>
      </c>
      <c r="CC48" t="str">
        <f t="shared" si="24"/>
        <v/>
      </c>
      <c r="CD48" t="str">
        <f t="shared" si="25"/>
        <v/>
      </c>
    </row>
    <row r="49" spans="1:82" ht="33.6" customHeight="1" x14ac:dyDescent="0.3">
      <c r="A49" s="4"/>
      <c r="B49" s="4"/>
      <c r="C49" s="4"/>
      <c r="D49" s="5"/>
      <c r="E49" s="6"/>
      <c r="F49" s="5"/>
      <c r="G49" s="6"/>
      <c r="H49" s="5"/>
      <c r="I49" s="21"/>
      <c r="J49" s="5"/>
      <c r="K49" s="6"/>
      <c r="L49" s="5"/>
      <c r="M49" s="6"/>
      <c r="N49" s="5"/>
      <c r="O49" s="6"/>
      <c r="P49" s="5"/>
      <c r="Q49" s="6"/>
      <c r="R49" s="5"/>
      <c r="S49" s="6"/>
      <c r="T49" s="5"/>
      <c r="U49" s="21"/>
      <c r="V49" s="5"/>
      <c r="W49" s="6"/>
      <c r="X49" s="5"/>
      <c r="Y49" s="6"/>
      <c r="Z49" s="5"/>
      <c r="AA49" s="6"/>
      <c r="AB49" s="5"/>
      <c r="AC49" s="6"/>
      <c r="AD49" s="5"/>
      <c r="AE49" s="6"/>
      <c r="AF49" s="5"/>
      <c r="AG49" s="21"/>
      <c r="AH49" s="5"/>
      <c r="AI49" s="6"/>
      <c r="AJ49" s="5"/>
      <c r="AK49" s="6"/>
      <c r="AL49" s="5"/>
      <c r="AM49" s="21"/>
      <c r="AN49" s="5"/>
      <c r="AO49" s="6"/>
      <c r="AP49" s="5"/>
      <c r="AQ49" s="6"/>
      <c r="AR49" s="5"/>
      <c r="AS49" s="21"/>
      <c r="AT49" s="5"/>
      <c r="AU49" s="6"/>
      <c r="AV49" s="5"/>
      <c r="AW49" s="6"/>
      <c r="AX49" s="5"/>
      <c r="AY49" s="21"/>
      <c r="AZ49" s="6"/>
      <c r="BA49" s="6"/>
      <c r="BB49" s="6"/>
      <c r="BC49" s="7" t="str">
        <f t="shared" si="26"/>
        <v/>
      </c>
      <c r="BD49" s="7" t="str">
        <f t="shared" si="27"/>
        <v/>
      </c>
      <c r="BE49" s="4"/>
      <c r="BF49" s="16"/>
      <c r="BG49" s="16" t="str">
        <f t="shared" si="2"/>
        <v/>
      </c>
      <c r="BH49" s="16" t="str">
        <f t="shared" si="3"/>
        <v/>
      </c>
      <c r="BI49" s="16" t="str">
        <f t="shared" si="4"/>
        <v/>
      </c>
      <c r="BJ49" s="16" t="str">
        <f t="shared" si="5"/>
        <v/>
      </c>
      <c r="BK49" t="str">
        <f t="shared" si="6"/>
        <v/>
      </c>
      <c r="BL49" t="str">
        <f t="shared" si="7"/>
        <v/>
      </c>
      <c r="BM49" t="str">
        <f t="shared" si="8"/>
        <v/>
      </c>
      <c r="BN49" t="str">
        <f t="shared" si="9"/>
        <v/>
      </c>
      <c r="BO49" t="str">
        <f t="shared" si="10"/>
        <v/>
      </c>
      <c r="BP49" t="str">
        <f t="shared" si="11"/>
        <v/>
      </c>
      <c r="BQ49" t="str">
        <f t="shared" si="12"/>
        <v/>
      </c>
      <c r="BR49" t="str">
        <f t="shared" si="13"/>
        <v/>
      </c>
      <c r="BS49" t="str">
        <f t="shared" si="14"/>
        <v/>
      </c>
      <c r="BT49" t="str">
        <f t="shared" si="15"/>
        <v/>
      </c>
      <c r="BU49" t="str">
        <f t="shared" si="16"/>
        <v/>
      </c>
      <c r="BV49" t="str">
        <f t="shared" si="17"/>
        <v/>
      </c>
      <c r="BW49" t="str">
        <f t="shared" si="18"/>
        <v/>
      </c>
      <c r="BX49" t="str">
        <f t="shared" si="19"/>
        <v/>
      </c>
      <c r="BY49" t="str">
        <f t="shared" si="20"/>
        <v/>
      </c>
      <c r="BZ49" t="str">
        <f t="shared" si="21"/>
        <v/>
      </c>
      <c r="CA49" t="str">
        <f t="shared" si="22"/>
        <v/>
      </c>
      <c r="CB49" t="str">
        <f t="shared" si="23"/>
        <v/>
      </c>
      <c r="CC49" t="str">
        <f t="shared" si="24"/>
        <v/>
      </c>
      <c r="CD49" t="str">
        <f t="shared" si="25"/>
        <v/>
      </c>
    </row>
    <row r="50" spans="1:82" ht="33.6" customHeight="1" x14ac:dyDescent="0.3">
      <c r="A50" s="4"/>
      <c r="B50" s="4"/>
      <c r="C50" s="4"/>
      <c r="D50" s="5"/>
      <c r="E50" s="6"/>
      <c r="F50" s="5"/>
      <c r="G50" s="6"/>
      <c r="H50" s="5"/>
      <c r="I50" s="21"/>
      <c r="J50" s="5"/>
      <c r="K50" s="6"/>
      <c r="L50" s="5"/>
      <c r="M50" s="6"/>
      <c r="N50" s="5"/>
      <c r="O50" s="6"/>
      <c r="P50" s="5"/>
      <c r="Q50" s="6"/>
      <c r="R50" s="5"/>
      <c r="S50" s="6"/>
      <c r="T50" s="5"/>
      <c r="U50" s="21"/>
      <c r="V50" s="5"/>
      <c r="W50" s="6"/>
      <c r="X50" s="5"/>
      <c r="Y50" s="6"/>
      <c r="Z50" s="5"/>
      <c r="AA50" s="6"/>
      <c r="AB50" s="5"/>
      <c r="AC50" s="6"/>
      <c r="AD50" s="5"/>
      <c r="AE50" s="6"/>
      <c r="AF50" s="5"/>
      <c r="AG50" s="21"/>
      <c r="AH50" s="5"/>
      <c r="AI50" s="6"/>
      <c r="AJ50" s="5"/>
      <c r="AK50" s="6"/>
      <c r="AL50" s="5"/>
      <c r="AM50" s="21"/>
      <c r="AN50" s="5"/>
      <c r="AO50" s="6"/>
      <c r="AP50" s="5"/>
      <c r="AQ50" s="6"/>
      <c r="AR50" s="5"/>
      <c r="AS50" s="21"/>
      <c r="AT50" s="5"/>
      <c r="AU50" s="6"/>
      <c r="AV50" s="5"/>
      <c r="AW50" s="6"/>
      <c r="AX50" s="5"/>
      <c r="AY50" s="21"/>
      <c r="AZ50" s="6"/>
      <c r="BA50" s="6"/>
      <c r="BB50" s="6"/>
      <c r="BC50" s="7" t="str">
        <f t="shared" si="26"/>
        <v/>
      </c>
      <c r="BD50" s="7" t="str">
        <f t="shared" si="27"/>
        <v/>
      </c>
      <c r="BE50" s="4"/>
      <c r="BF50" s="16"/>
      <c r="BG50" s="16" t="str">
        <f t="shared" si="2"/>
        <v/>
      </c>
      <c r="BH50" s="16" t="str">
        <f t="shared" si="3"/>
        <v/>
      </c>
      <c r="BI50" s="16" t="str">
        <f t="shared" si="4"/>
        <v/>
      </c>
      <c r="BJ50" s="16" t="str">
        <f t="shared" si="5"/>
        <v/>
      </c>
      <c r="BK50" t="str">
        <f t="shared" si="6"/>
        <v/>
      </c>
      <c r="BL50" t="str">
        <f t="shared" si="7"/>
        <v/>
      </c>
      <c r="BM50" t="str">
        <f t="shared" si="8"/>
        <v/>
      </c>
      <c r="BN50" t="str">
        <f t="shared" si="9"/>
        <v/>
      </c>
      <c r="BO50" t="str">
        <f t="shared" si="10"/>
        <v/>
      </c>
      <c r="BP50" t="str">
        <f t="shared" si="11"/>
        <v/>
      </c>
      <c r="BQ50" t="str">
        <f t="shared" si="12"/>
        <v/>
      </c>
      <c r="BR50" t="str">
        <f t="shared" si="13"/>
        <v/>
      </c>
      <c r="BS50" t="str">
        <f t="shared" si="14"/>
        <v/>
      </c>
      <c r="BT50" t="str">
        <f t="shared" si="15"/>
        <v/>
      </c>
      <c r="BU50" t="str">
        <f t="shared" si="16"/>
        <v/>
      </c>
      <c r="BV50" t="str">
        <f t="shared" si="17"/>
        <v/>
      </c>
      <c r="BW50" t="str">
        <f t="shared" si="18"/>
        <v/>
      </c>
      <c r="BX50" t="str">
        <f t="shared" si="19"/>
        <v/>
      </c>
      <c r="BY50" t="str">
        <f t="shared" si="20"/>
        <v/>
      </c>
      <c r="BZ50" t="str">
        <f t="shared" si="21"/>
        <v/>
      </c>
      <c r="CA50" t="str">
        <f t="shared" si="22"/>
        <v/>
      </c>
      <c r="CB50" t="str">
        <f t="shared" si="23"/>
        <v/>
      </c>
      <c r="CC50" t="str">
        <f t="shared" si="24"/>
        <v/>
      </c>
      <c r="CD50" t="str">
        <f t="shared" si="25"/>
        <v/>
      </c>
    </row>
    <row r="51" spans="1:82" ht="33.6" customHeight="1" x14ac:dyDescent="0.3">
      <c r="A51" s="4"/>
      <c r="B51" s="4"/>
      <c r="C51" s="4"/>
      <c r="D51" s="5"/>
      <c r="E51" s="6"/>
      <c r="F51" s="5"/>
      <c r="G51" s="6"/>
      <c r="H51" s="5"/>
      <c r="I51" s="21"/>
      <c r="J51" s="5"/>
      <c r="K51" s="6"/>
      <c r="L51" s="5"/>
      <c r="M51" s="6"/>
      <c r="N51" s="5"/>
      <c r="O51" s="6"/>
      <c r="P51" s="5"/>
      <c r="Q51" s="6"/>
      <c r="R51" s="5"/>
      <c r="S51" s="6"/>
      <c r="T51" s="5"/>
      <c r="U51" s="21"/>
      <c r="V51" s="5"/>
      <c r="W51" s="6"/>
      <c r="X51" s="5"/>
      <c r="Y51" s="6"/>
      <c r="Z51" s="5"/>
      <c r="AA51" s="6"/>
      <c r="AB51" s="5"/>
      <c r="AC51" s="6"/>
      <c r="AD51" s="5"/>
      <c r="AE51" s="6"/>
      <c r="AF51" s="5"/>
      <c r="AG51" s="21"/>
      <c r="AH51" s="5"/>
      <c r="AI51" s="6"/>
      <c r="AJ51" s="5"/>
      <c r="AK51" s="6"/>
      <c r="AL51" s="5"/>
      <c r="AM51" s="21"/>
      <c r="AN51" s="5"/>
      <c r="AO51" s="6"/>
      <c r="AP51" s="5"/>
      <c r="AQ51" s="6"/>
      <c r="AR51" s="5"/>
      <c r="AS51" s="21"/>
      <c r="AT51" s="5"/>
      <c r="AU51" s="6"/>
      <c r="AV51" s="5"/>
      <c r="AW51" s="6"/>
      <c r="AX51" s="5"/>
      <c r="AY51" s="21"/>
      <c r="AZ51" s="6"/>
      <c r="BA51" s="6"/>
      <c r="BB51" s="6"/>
      <c r="BC51" s="7" t="str">
        <f t="shared" si="26"/>
        <v/>
      </c>
      <c r="BD51" s="7" t="str">
        <f t="shared" si="27"/>
        <v/>
      </c>
      <c r="BE51" s="4"/>
      <c r="BF51" s="16"/>
      <c r="BG51" s="16" t="str">
        <f t="shared" si="2"/>
        <v/>
      </c>
      <c r="BH51" s="16" t="str">
        <f t="shared" si="3"/>
        <v/>
      </c>
      <c r="BI51" s="16" t="str">
        <f t="shared" si="4"/>
        <v/>
      </c>
      <c r="BJ51" s="16" t="str">
        <f t="shared" si="5"/>
        <v/>
      </c>
      <c r="BK51" t="str">
        <f t="shared" si="6"/>
        <v/>
      </c>
      <c r="BL51" t="str">
        <f t="shared" si="7"/>
        <v/>
      </c>
      <c r="BM51" t="str">
        <f t="shared" si="8"/>
        <v/>
      </c>
      <c r="BN51" t="str">
        <f t="shared" si="9"/>
        <v/>
      </c>
      <c r="BO51" t="str">
        <f t="shared" si="10"/>
        <v/>
      </c>
      <c r="BP51" t="str">
        <f t="shared" si="11"/>
        <v/>
      </c>
      <c r="BQ51" t="str">
        <f t="shared" si="12"/>
        <v/>
      </c>
      <c r="BR51" t="str">
        <f t="shared" si="13"/>
        <v/>
      </c>
      <c r="BS51" t="str">
        <f t="shared" si="14"/>
        <v/>
      </c>
      <c r="BT51" t="str">
        <f t="shared" si="15"/>
        <v/>
      </c>
      <c r="BU51" t="str">
        <f t="shared" si="16"/>
        <v/>
      </c>
      <c r="BV51" t="str">
        <f t="shared" si="17"/>
        <v/>
      </c>
      <c r="BW51" t="str">
        <f t="shared" si="18"/>
        <v/>
      </c>
      <c r="BX51" t="str">
        <f t="shared" si="19"/>
        <v/>
      </c>
      <c r="BY51" t="str">
        <f t="shared" si="20"/>
        <v/>
      </c>
      <c r="BZ51" t="str">
        <f t="shared" si="21"/>
        <v/>
      </c>
      <c r="CA51" t="str">
        <f t="shared" si="22"/>
        <v/>
      </c>
      <c r="CB51" t="str">
        <f t="shared" si="23"/>
        <v/>
      </c>
      <c r="CC51" t="str">
        <f t="shared" si="24"/>
        <v/>
      </c>
      <c r="CD51" t="str">
        <f t="shared" si="25"/>
        <v/>
      </c>
    </row>
    <row r="52" spans="1:82" ht="33.6" customHeight="1" x14ac:dyDescent="0.3">
      <c r="A52" s="4"/>
      <c r="B52" s="4"/>
      <c r="C52" s="4"/>
      <c r="D52" s="5"/>
      <c r="E52" s="6"/>
      <c r="F52" s="5"/>
      <c r="G52" s="6"/>
      <c r="H52" s="5"/>
      <c r="I52" s="21"/>
      <c r="J52" s="5"/>
      <c r="K52" s="6"/>
      <c r="L52" s="5"/>
      <c r="M52" s="6"/>
      <c r="N52" s="5"/>
      <c r="O52" s="6"/>
      <c r="P52" s="5"/>
      <c r="Q52" s="6"/>
      <c r="R52" s="5"/>
      <c r="S52" s="6"/>
      <c r="T52" s="5"/>
      <c r="U52" s="21"/>
      <c r="V52" s="5"/>
      <c r="W52" s="6"/>
      <c r="X52" s="5"/>
      <c r="Y52" s="6"/>
      <c r="Z52" s="5"/>
      <c r="AA52" s="6"/>
      <c r="AB52" s="5"/>
      <c r="AC52" s="6"/>
      <c r="AD52" s="5"/>
      <c r="AE52" s="6"/>
      <c r="AF52" s="5"/>
      <c r="AG52" s="21"/>
      <c r="AH52" s="5"/>
      <c r="AI52" s="6"/>
      <c r="AJ52" s="5"/>
      <c r="AK52" s="6"/>
      <c r="AL52" s="5"/>
      <c r="AM52" s="21"/>
      <c r="AN52" s="5"/>
      <c r="AO52" s="6"/>
      <c r="AP52" s="5"/>
      <c r="AQ52" s="6"/>
      <c r="AR52" s="5"/>
      <c r="AS52" s="21"/>
      <c r="AT52" s="5"/>
      <c r="AU52" s="6"/>
      <c r="AV52" s="5"/>
      <c r="AW52" s="6"/>
      <c r="AX52" s="5"/>
      <c r="AY52" s="21"/>
      <c r="AZ52" s="6"/>
      <c r="BA52" s="6"/>
      <c r="BB52" s="6"/>
      <c r="BC52" s="7" t="str">
        <f t="shared" si="26"/>
        <v/>
      </c>
      <c r="BD52" s="7" t="str">
        <f t="shared" si="27"/>
        <v/>
      </c>
      <c r="BE52" s="4"/>
      <c r="BF52" s="16"/>
      <c r="BG52" s="16" t="str">
        <f t="shared" si="2"/>
        <v/>
      </c>
      <c r="BH52" s="16" t="str">
        <f t="shared" si="3"/>
        <v/>
      </c>
      <c r="BI52" s="16" t="str">
        <f t="shared" si="4"/>
        <v/>
      </c>
      <c r="BJ52" s="16" t="str">
        <f t="shared" si="5"/>
        <v/>
      </c>
      <c r="BK52" t="str">
        <f t="shared" si="6"/>
        <v/>
      </c>
      <c r="BL52" t="str">
        <f t="shared" si="7"/>
        <v/>
      </c>
      <c r="BM52" t="str">
        <f t="shared" si="8"/>
        <v/>
      </c>
      <c r="BN52" t="str">
        <f t="shared" si="9"/>
        <v/>
      </c>
      <c r="BO52" t="str">
        <f t="shared" si="10"/>
        <v/>
      </c>
      <c r="BP52" t="str">
        <f t="shared" si="11"/>
        <v/>
      </c>
      <c r="BQ52" t="str">
        <f t="shared" si="12"/>
        <v/>
      </c>
      <c r="BR52" t="str">
        <f t="shared" si="13"/>
        <v/>
      </c>
      <c r="BS52" t="str">
        <f t="shared" si="14"/>
        <v/>
      </c>
      <c r="BT52" t="str">
        <f t="shared" si="15"/>
        <v/>
      </c>
      <c r="BU52" t="str">
        <f t="shared" si="16"/>
        <v/>
      </c>
      <c r="BV52" t="str">
        <f t="shared" si="17"/>
        <v/>
      </c>
      <c r="BW52" t="str">
        <f t="shared" si="18"/>
        <v/>
      </c>
      <c r="BX52" t="str">
        <f t="shared" si="19"/>
        <v/>
      </c>
      <c r="BY52" t="str">
        <f t="shared" si="20"/>
        <v/>
      </c>
      <c r="BZ52" t="str">
        <f t="shared" si="21"/>
        <v/>
      </c>
      <c r="CA52" t="str">
        <f t="shared" si="22"/>
        <v/>
      </c>
      <c r="CB52" t="str">
        <f t="shared" si="23"/>
        <v/>
      </c>
      <c r="CC52" t="str">
        <f t="shared" si="24"/>
        <v/>
      </c>
      <c r="CD52" t="str">
        <f t="shared" si="25"/>
        <v/>
      </c>
    </row>
    <row r="53" spans="1:82" ht="33.6" customHeight="1" x14ac:dyDescent="0.3">
      <c r="A53" s="4"/>
      <c r="B53" s="4"/>
      <c r="C53" s="4"/>
      <c r="D53" s="5"/>
      <c r="E53" s="6"/>
      <c r="F53" s="5"/>
      <c r="G53" s="6"/>
      <c r="H53" s="5"/>
      <c r="I53" s="21"/>
      <c r="J53" s="5"/>
      <c r="K53" s="6"/>
      <c r="L53" s="5"/>
      <c r="M53" s="6"/>
      <c r="N53" s="5"/>
      <c r="O53" s="6"/>
      <c r="P53" s="5"/>
      <c r="Q53" s="6"/>
      <c r="R53" s="5"/>
      <c r="S53" s="6"/>
      <c r="T53" s="5"/>
      <c r="U53" s="21"/>
      <c r="V53" s="5"/>
      <c r="W53" s="6"/>
      <c r="X53" s="5"/>
      <c r="Y53" s="6"/>
      <c r="Z53" s="5"/>
      <c r="AA53" s="6"/>
      <c r="AB53" s="5"/>
      <c r="AC53" s="6"/>
      <c r="AD53" s="5"/>
      <c r="AE53" s="6"/>
      <c r="AF53" s="5"/>
      <c r="AG53" s="21"/>
      <c r="AH53" s="5"/>
      <c r="AI53" s="6"/>
      <c r="AJ53" s="5"/>
      <c r="AK53" s="6"/>
      <c r="AL53" s="5"/>
      <c r="AM53" s="21"/>
      <c r="AN53" s="5"/>
      <c r="AO53" s="6"/>
      <c r="AP53" s="5"/>
      <c r="AQ53" s="6"/>
      <c r="AR53" s="5"/>
      <c r="AS53" s="21"/>
      <c r="AT53" s="5"/>
      <c r="AU53" s="6"/>
      <c r="AV53" s="5"/>
      <c r="AW53" s="6"/>
      <c r="AX53" s="5"/>
      <c r="AY53" s="21"/>
      <c r="AZ53" s="6"/>
      <c r="BA53" s="6"/>
      <c r="BB53" s="6"/>
      <c r="BC53" s="7" t="str">
        <f t="shared" si="26"/>
        <v/>
      </c>
      <c r="BD53" s="7" t="str">
        <f t="shared" si="27"/>
        <v/>
      </c>
      <c r="BE53" s="4"/>
      <c r="BF53" s="16"/>
      <c r="BG53" s="16" t="str">
        <f t="shared" si="2"/>
        <v/>
      </c>
      <c r="BH53" s="16" t="str">
        <f t="shared" si="3"/>
        <v/>
      </c>
      <c r="BI53" s="16" t="str">
        <f t="shared" si="4"/>
        <v/>
      </c>
      <c r="BJ53" s="16" t="str">
        <f t="shared" si="5"/>
        <v/>
      </c>
      <c r="BK53" t="str">
        <f t="shared" si="6"/>
        <v/>
      </c>
      <c r="BL53" t="str">
        <f t="shared" si="7"/>
        <v/>
      </c>
      <c r="BM53" t="str">
        <f t="shared" si="8"/>
        <v/>
      </c>
      <c r="BN53" t="str">
        <f t="shared" si="9"/>
        <v/>
      </c>
      <c r="BO53" t="str">
        <f t="shared" si="10"/>
        <v/>
      </c>
      <c r="BP53" t="str">
        <f t="shared" si="11"/>
        <v/>
      </c>
      <c r="BQ53" t="str">
        <f t="shared" si="12"/>
        <v/>
      </c>
      <c r="BR53" t="str">
        <f t="shared" si="13"/>
        <v/>
      </c>
      <c r="BS53" t="str">
        <f t="shared" si="14"/>
        <v/>
      </c>
      <c r="BT53" t="str">
        <f t="shared" si="15"/>
        <v/>
      </c>
      <c r="BU53" t="str">
        <f t="shared" si="16"/>
        <v/>
      </c>
      <c r="BV53" t="str">
        <f t="shared" si="17"/>
        <v/>
      </c>
      <c r="BW53" t="str">
        <f t="shared" si="18"/>
        <v/>
      </c>
      <c r="BX53" t="str">
        <f t="shared" si="19"/>
        <v/>
      </c>
      <c r="BY53" t="str">
        <f t="shared" si="20"/>
        <v/>
      </c>
      <c r="BZ53" t="str">
        <f t="shared" si="21"/>
        <v/>
      </c>
      <c r="CA53" t="str">
        <f t="shared" si="22"/>
        <v/>
      </c>
      <c r="CB53" t="str">
        <f t="shared" si="23"/>
        <v/>
      </c>
      <c r="CC53" t="str">
        <f t="shared" si="24"/>
        <v/>
      </c>
      <c r="CD53" t="str">
        <f t="shared" si="25"/>
        <v/>
      </c>
    </row>
    <row r="54" spans="1:82" ht="33.6" customHeight="1" x14ac:dyDescent="0.3">
      <c r="A54" s="4"/>
      <c r="B54" s="4"/>
      <c r="C54" s="4"/>
      <c r="D54" s="5"/>
      <c r="E54" s="6"/>
      <c r="F54" s="5"/>
      <c r="G54" s="6"/>
      <c r="H54" s="5"/>
      <c r="I54" s="21"/>
      <c r="J54" s="5"/>
      <c r="K54" s="6"/>
      <c r="L54" s="5"/>
      <c r="M54" s="6"/>
      <c r="N54" s="5"/>
      <c r="O54" s="6"/>
      <c r="P54" s="5"/>
      <c r="Q54" s="6"/>
      <c r="R54" s="5"/>
      <c r="S54" s="6"/>
      <c r="T54" s="5"/>
      <c r="U54" s="21"/>
      <c r="V54" s="5"/>
      <c r="W54" s="6"/>
      <c r="X54" s="5"/>
      <c r="Y54" s="6"/>
      <c r="Z54" s="5"/>
      <c r="AA54" s="6"/>
      <c r="AB54" s="5"/>
      <c r="AC54" s="6"/>
      <c r="AD54" s="5"/>
      <c r="AE54" s="6"/>
      <c r="AF54" s="5"/>
      <c r="AG54" s="21"/>
      <c r="AH54" s="5"/>
      <c r="AI54" s="6"/>
      <c r="AJ54" s="5"/>
      <c r="AK54" s="6"/>
      <c r="AL54" s="5"/>
      <c r="AM54" s="21"/>
      <c r="AN54" s="5"/>
      <c r="AO54" s="6"/>
      <c r="AP54" s="5"/>
      <c r="AQ54" s="6"/>
      <c r="AR54" s="5"/>
      <c r="AS54" s="21"/>
      <c r="AT54" s="5"/>
      <c r="AU54" s="6"/>
      <c r="AV54" s="5"/>
      <c r="AW54" s="6"/>
      <c r="AX54" s="5"/>
      <c r="AY54" s="21"/>
      <c r="AZ54" s="6"/>
      <c r="BA54" s="6"/>
      <c r="BB54" s="6"/>
      <c r="BC54" s="7" t="str">
        <f t="shared" si="26"/>
        <v/>
      </c>
      <c r="BD54" s="7" t="str">
        <f t="shared" si="27"/>
        <v/>
      </c>
      <c r="BE54" s="4"/>
      <c r="BF54" s="16"/>
      <c r="BG54" s="16" t="str">
        <f t="shared" si="2"/>
        <v/>
      </c>
      <c r="BH54" s="16" t="str">
        <f t="shared" si="3"/>
        <v/>
      </c>
      <c r="BI54" s="16" t="str">
        <f t="shared" si="4"/>
        <v/>
      </c>
      <c r="BJ54" s="16" t="str">
        <f t="shared" si="5"/>
        <v/>
      </c>
      <c r="BK54" t="str">
        <f t="shared" si="6"/>
        <v/>
      </c>
      <c r="BL54" t="str">
        <f t="shared" si="7"/>
        <v/>
      </c>
      <c r="BM54" t="str">
        <f t="shared" si="8"/>
        <v/>
      </c>
      <c r="BN54" t="str">
        <f t="shared" si="9"/>
        <v/>
      </c>
      <c r="BO54" t="str">
        <f t="shared" si="10"/>
        <v/>
      </c>
      <c r="BP54" t="str">
        <f t="shared" si="11"/>
        <v/>
      </c>
      <c r="BQ54" t="str">
        <f t="shared" si="12"/>
        <v/>
      </c>
      <c r="BR54" t="str">
        <f t="shared" si="13"/>
        <v/>
      </c>
      <c r="BS54" t="str">
        <f t="shared" si="14"/>
        <v/>
      </c>
      <c r="BT54" t="str">
        <f t="shared" si="15"/>
        <v/>
      </c>
      <c r="BU54" t="str">
        <f t="shared" si="16"/>
        <v/>
      </c>
      <c r="BV54" t="str">
        <f t="shared" si="17"/>
        <v/>
      </c>
      <c r="BW54" t="str">
        <f t="shared" si="18"/>
        <v/>
      </c>
      <c r="BX54" t="str">
        <f t="shared" si="19"/>
        <v/>
      </c>
      <c r="BY54" t="str">
        <f t="shared" si="20"/>
        <v/>
      </c>
      <c r="BZ54" t="str">
        <f t="shared" si="21"/>
        <v/>
      </c>
      <c r="CA54" t="str">
        <f t="shared" si="22"/>
        <v/>
      </c>
      <c r="CB54" t="str">
        <f t="shared" si="23"/>
        <v/>
      </c>
      <c r="CC54" t="str">
        <f t="shared" si="24"/>
        <v/>
      </c>
      <c r="CD54" t="str">
        <f t="shared" si="25"/>
        <v/>
      </c>
    </row>
    <row r="55" spans="1:82" ht="33.6" customHeight="1" x14ac:dyDescent="0.3">
      <c r="A55" s="4"/>
      <c r="B55" s="4"/>
      <c r="C55" s="4"/>
      <c r="D55" s="5"/>
      <c r="E55" s="6"/>
      <c r="F55" s="5"/>
      <c r="G55" s="6"/>
      <c r="H55" s="5"/>
      <c r="I55" s="21"/>
      <c r="J55" s="5"/>
      <c r="K55" s="6"/>
      <c r="L55" s="5"/>
      <c r="M55" s="6"/>
      <c r="N55" s="5"/>
      <c r="O55" s="6"/>
      <c r="P55" s="5"/>
      <c r="Q55" s="6"/>
      <c r="R55" s="5"/>
      <c r="S55" s="6"/>
      <c r="T55" s="5"/>
      <c r="U55" s="21"/>
      <c r="V55" s="5"/>
      <c r="W55" s="6"/>
      <c r="X55" s="5"/>
      <c r="Y55" s="6"/>
      <c r="Z55" s="5"/>
      <c r="AA55" s="6"/>
      <c r="AB55" s="5"/>
      <c r="AC55" s="6"/>
      <c r="AD55" s="5"/>
      <c r="AE55" s="6"/>
      <c r="AF55" s="5"/>
      <c r="AG55" s="21"/>
      <c r="AH55" s="5"/>
      <c r="AI55" s="6"/>
      <c r="AJ55" s="5"/>
      <c r="AK55" s="6"/>
      <c r="AL55" s="5"/>
      <c r="AM55" s="21"/>
      <c r="AN55" s="5"/>
      <c r="AO55" s="6"/>
      <c r="AP55" s="5"/>
      <c r="AQ55" s="6"/>
      <c r="AR55" s="5"/>
      <c r="AS55" s="21"/>
      <c r="AT55" s="5"/>
      <c r="AU55" s="6"/>
      <c r="AV55" s="5"/>
      <c r="AW55" s="6"/>
      <c r="AX55" s="5"/>
      <c r="AY55" s="21"/>
      <c r="AZ55" s="6"/>
      <c r="BA55" s="6"/>
      <c r="BB55" s="6"/>
      <c r="BC55" s="7" t="str">
        <f t="shared" si="26"/>
        <v/>
      </c>
      <c r="BD55" s="7" t="str">
        <f t="shared" si="27"/>
        <v/>
      </c>
      <c r="BE55" s="4"/>
      <c r="BF55" s="16"/>
      <c r="BG55" s="16" t="str">
        <f t="shared" si="2"/>
        <v/>
      </c>
      <c r="BH55" s="16" t="str">
        <f t="shared" si="3"/>
        <v/>
      </c>
      <c r="BI55" s="16" t="str">
        <f t="shared" si="4"/>
        <v/>
      </c>
      <c r="BJ55" s="16" t="str">
        <f t="shared" si="5"/>
        <v/>
      </c>
      <c r="BK55" t="str">
        <f t="shared" si="6"/>
        <v/>
      </c>
      <c r="BL55" t="str">
        <f t="shared" si="7"/>
        <v/>
      </c>
      <c r="BM55" t="str">
        <f t="shared" si="8"/>
        <v/>
      </c>
      <c r="BN55" t="str">
        <f t="shared" si="9"/>
        <v/>
      </c>
      <c r="BO55" t="str">
        <f t="shared" si="10"/>
        <v/>
      </c>
      <c r="BP55" t="str">
        <f t="shared" si="11"/>
        <v/>
      </c>
      <c r="BQ55" t="str">
        <f t="shared" si="12"/>
        <v/>
      </c>
      <c r="BR55" t="str">
        <f t="shared" si="13"/>
        <v/>
      </c>
      <c r="BS55" t="str">
        <f t="shared" si="14"/>
        <v/>
      </c>
      <c r="BT55" t="str">
        <f t="shared" si="15"/>
        <v/>
      </c>
      <c r="BU55" t="str">
        <f t="shared" si="16"/>
        <v/>
      </c>
      <c r="BV55" t="str">
        <f t="shared" si="17"/>
        <v/>
      </c>
      <c r="BW55" t="str">
        <f t="shared" si="18"/>
        <v/>
      </c>
      <c r="BX55" t="str">
        <f t="shared" si="19"/>
        <v/>
      </c>
      <c r="BY55" t="str">
        <f t="shared" si="20"/>
        <v/>
      </c>
      <c r="BZ55" t="str">
        <f t="shared" si="21"/>
        <v/>
      </c>
      <c r="CA55" t="str">
        <f t="shared" si="22"/>
        <v/>
      </c>
      <c r="CB55" t="str">
        <f t="shared" si="23"/>
        <v/>
      </c>
      <c r="CC55" t="str">
        <f t="shared" si="24"/>
        <v/>
      </c>
      <c r="CD55" t="str">
        <f t="shared" si="25"/>
        <v/>
      </c>
    </row>
    <row r="56" spans="1:82" ht="33.6" customHeight="1" x14ac:dyDescent="0.3">
      <c r="A56" s="4"/>
      <c r="B56" s="4"/>
      <c r="C56" s="4"/>
      <c r="D56" s="5"/>
      <c r="E56" s="6"/>
      <c r="F56" s="5"/>
      <c r="G56" s="6"/>
      <c r="H56" s="5"/>
      <c r="I56" s="21"/>
      <c r="J56" s="5"/>
      <c r="K56" s="6"/>
      <c r="L56" s="5"/>
      <c r="M56" s="6"/>
      <c r="N56" s="5"/>
      <c r="O56" s="6"/>
      <c r="P56" s="5"/>
      <c r="Q56" s="6"/>
      <c r="R56" s="5"/>
      <c r="S56" s="6"/>
      <c r="T56" s="5"/>
      <c r="U56" s="21"/>
      <c r="V56" s="5"/>
      <c r="W56" s="6"/>
      <c r="X56" s="5"/>
      <c r="Y56" s="6"/>
      <c r="Z56" s="5"/>
      <c r="AA56" s="6"/>
      <c r="AB56" s="5"/>
      <c r="AC56" s="6"/>
      <c r="AD56" s="5"/>
      <c r="AE56" s="6"/>
      <c r="AF56" s="5"/>
      <c r="AG56" s="21"/>
      <c r="AH56" s="5"/>
      <c r="AI56" s="6"/>
      <c r="AJ56" s="5"/>
      <c r="AK56" s="6"/>
      <c r="AL56" s="5"/>
      <c r="AM56" s="21"/>
      <c r="AN56" s="5"/>
      <c r="AO56" s="6"/>
      <c r="AP56" s="5"/>
      <c r="AQ56" s="6"/>
      <c r="AR56" s="5"/>
      <c r="AS56" s="21"/>
      <c r="AT56" s="5"/>
      <c r="AU56" s="6"/>
      <c r="AV56" s="5"/>
      <c r="AW56" s="6"/>
      <c r="AX56" s="5"/>
      <c r="AY56" s="21"/>
      <c r="AZ56" s="6"/>
      <c r="BA56" s="6"/>
      <c r="BB56" s="6"/>
      <c r="BC56" s="7" t="str">
        <f t="shared" si="26"/>
        <v/>
      </c>
      <c r="BD56" s="7" t="str">
        <f t="shared" si="27"/>
        <v/>
      </c>
      <c r="BE56" s="4"/>
      <c r="BF56" s="16"/>
      <c r="BG56" s="16" t="str">
        <f t="shared" si="2"/>
        <v/>
      </c>
      <c r="BH56" s="16" t="str">
        <f t="shared" si="3"/>
        <v/>
      </c>
      <c r="BI56" s="16" t="str">
        <f t="shared" si="4"/>
        <v/>
      </c>
      <c r="BJ56" s="16" t="str">
        <f t="shared" si="5"/>
        <v/>
      </c>
      <c r="BK56" t="str">
        <f t="shared" si="6"/>
        <v/>
      </c>
      <c r="BL56" t="str">
        <f t="shared" si="7"/>
        <v/>
      </c>
      <c r="BM56" t="str">
        <f t="shared" si="8"/>
        <v/>
      </c>
      <c r="BN56" t="str">
        <f t="shared" si="9"/>
        <v/>
      </c>
      <c r="BO56" t="str">
        <f t="shared" si="10"/>
        <v/>
      </c>
      <c r="BP56" t="str">
        <f t="shared" si="11"/>
        <v/>
      </c>
      <c r="BQ56" t="str">
        <f t="shared" si="12"/>
        <v/>
      </c>
      <c r="BR56" t="str">
        <f t="shared" si="13"/>
        <v/>
      </c>
      <c r="BS56" t="str">
        <f t="shared" si="14"/>
        <v/>
      </c>
      <c r="BT56" t="str">
        <f t="shared" si="15"/>
        <v/>
      </c>
      <c r="BU56" t="str">
        <f t="shared" si="16"/>
        <v/>
      </c>
      <c r="BV56" t="str">
        <f t="shared" si="17"/>
        <v/>
      </c>
      <c r="BW56" t="str">
        <f t="shared" si="18"/>
        <v/>
      </c>
      <c r="BX56" t="str">
        <f t="shared" si="19"/>
        <v/>
      </c>
      <c r="BY56" t="str">
        <f t="shared" si="20"/>
        <v/>
      </c>
      <c r="BZ56" t="str">
        <f t="shared" si="21"/>
        <v/>
      </c>
      <c r="CA56" t="str">
        <f t="shared" si="22"/>
        <v/>
      </c>
      <c r="CB56" t="str">
        <f t="shared" si="23"/>
        <v/>
      </c>
      <c r="CC56" t="str">
        <f t="shared" si="24"/>
        <v/>
      </c>
      <c r="CD56" t="str">
        <f t="shared" si="25"/>
        <v/>
      </c>
    </row>
    <row r="57" spans="1:82" ht="33.6" customHeight="1" x14ac:dyDescent="0.3">
      <c r="A57" s="4"/>
      <c r="B57" s="4"/>
      <c r="C57" s="4"/>
      <c r="D57" s="5"/>
      <c r="E57" s="6"/>
      <c r="F57" s="5"/>
      <c r="G57" s="6"/>
      <c r="H57" s="5"/>
      <c r="I57" s="21"/>
      <c r="J57" s="5"/>
      <c r="K57" s="6"/>
      <c r="L57" s="5"/>
      <c r="M57" s="6"/>
      <c r="N57" s="5"/>
      <c r="O57" s="6"/>
      <c r="P57" s="5"/>
      <c r="Q57" s="6"/>
      <c r="R57" s="5"/>
      <c r="S57" s="6"/>
      <c r="T57" s="5"/>
      <c r="U57" s="21"/>
      <c r="V57" s="5"/>
      <c r="W57" s="6"/>
      <c r="X57" s="5"/>
      <c r="Y57" s="6"/>
      <c r="Z57" s="5"/>
      <c r="AA57" s="6"/>
      <c r="AB57" s="5"/>
      <c r="AC57" s="6"/>
      <c r="AD57" s="5"/>
      <c r="AE57" s="6"/>
      <c r="AF57" s="5"/>
      <c r="AG57" s="21"/>
      <c r="AH57" s="5"/>
      <c r="AI57" s="6"/>
      <c r="AJ57" s="5"/>
      <c r="AK57" s="6"/>
      <c r="AL57" s="5"/>
      <c r="AM57" s="21"/>
      <c r="AN57" s="5"/>
      <c r="AO57" s="6"/>
      <c r="AP57" s="5"/>
      <c r="AQ57" s="6"/>
      <c r="AR57" s="5"/>
      <c r="AS57" s="21"/>
      <c r="AT57" s="5"/>
      <c r="AU57" s="6"/>
      <c r="AV57" s="5"/>
      <c r="AW57" s="6"/>
      <c r="AX57" s="5"/>
      <c r="AY57" s="21"/>
      <c r="AZ57" s="6"/>
      <c r="BA57" s="6"/>
      <c r="BB57" s="6"/>
      <c r="BC57" s="7" t="str">
        <f t="shared" si="26"/>
        <v/>
      </c>
      <c r="BD57" s="7" t="str">
        <f t="shared" si="27"/>
        <v/>
      </c>
      <c r="BE57" s="4"/>
      <c r="BF57" s="16"/>
      <c r="BG57" s="16" t="str">
        <f t="shared" si="2"/>
        <v/>
      </c>
      <c r="BH57" s="16" t="str">
        <f t="shared" si="3"/>
        <v/>
      </c>
      <c r="BI57" s="16" t="str">
        <f t="shared" si="4"/>
        <v/>
      </c>
      <c r="BJ57" s="16" t="str">
        <f t="shared" si="5"/>
        <v/>
      </c>
      <c r="BK57" t="str">
        <f t="shared" si="6"/>
        <v/>
      </c>
      <c r="BL57" t="str">
        <f t="shared" si="7"/>
        <v/>
      </c>
      <c r="BM57" t="str">
        <f t="shared" si="8"/>
        <v/>
      </c>
      <c r="BN57" t="str">
        <f t="shared" si="9"/>
        <v/>
      </c>
      <c r="BO57" t="str">
        <f t="shared" si="10"/>
        <v/>
      </c>
      <c r="BP57" t="str">
        <f t="shared" si="11"/>
        <v/>
      </c>
      <c r="BQ57" t="str">
        <f t="shared" si="12"/>
        <v/>
      </c>
      <c r="BR57" t="str">
        <f t="shared" si="13"/>
        <v/>
      </c>
      <c r="BS57" t="str">
        <f t="shared" si="14"/>
        <v/>
      </c>
      <c r="BT57" t="str">
        <f t="shared" si="15"/>
        <v/>
      </c>
      <c r="BU57" t="str">
        <f t="shared" si="16"/>
        <v/>
      </c>
      <c r="BV57" t="str">
        <f t="shared" si="17"/>
        <v/>
      </c>
      <c r="BW57" t="str">
        <f t="shared" si="18"/>
        <v/>
      </c>
      <c r="BX57" t="str">
        <f t="shared" si="19"/>
        <v/>
      </c>
      <c r="BY57" t="str">
        <f t="shared" si="20"/>
        <v/>
      </c>
      <c r="BZ57" t="str">
        <f t="shared" si="21"/>
        <v/>
      </c>
      <c r="CA57" t="str">
        <f t="shared" si="22"/>
        <v/>
      </c>
      <c r="CB57" t="str">
        <f t="shared" si="23"/>
        <v/>
      </c>
      <c r="CC57" t="str">
        <f t="shared" si="24"/>
        <v/>
      </c>
      <c r="CD57" t="str">
        <f t="shared" si="25"/>
        <v/>
      </c>
    </row>
    <row r="58" spans="1:82" ht="33.6" customHeight="1" x14ac:dyDescent="0.3">
      <c r="A58" s="4"/>
      <c r="B58" s="4"/>
      <c r="C58" s="4"/>
      <c r="D58" s="5"/>
      <c r="E58" s="6"/>
      <c r="F58" s="5"/>
      <c r="G58" s="6"/>
      <c r="H58" s="5"/>
      <c r="I58" s="21"/>
      <c r="J58" s="5"/>
      <c r="K58" s="6"/>
      <c r="L58" s="5"/>
      <c r="M58" s="6"/>
      <c r="N58" s="5"/>
      <c r="O58" s="6"/>
      <c r="P58" s="5"/>
      <c r="Q58" s="6"/>
      <c r="R58" s="5"/>
      <c r="S58" s="6"/>
      <c r="T58" s="5"/>
      <c r="U58" s="21"/>
      <c r="V58" s="5"/>
      <c r="W58" s="6"/>
      <c r="X58" s="5"/>
      <c r="Y58" s="6"/>
      <c r="Z58" s="5"/>
      <c r="AA58" s="6"/>
      <c r="AB58" s="5"/>
      <c r="AC58" s="6"/>
      <c r="AD58" s="5"/>
      <c r="AE58" s="6"/>
      <c r="AF58" s="5"/>
      <c r="AG58" s="21"/>
      <c r="AH58" s="5"/>
      <c r="AI58" s="6"/>
      <c r="AJ58" s="5"/>
      <c r="AK58" s="6"/>
      <c r="AL58" s="5"/>
      <c r="AM58" s="21"/>
      <c r="AN58" s="5"/>
      <c r="AO58" s="6"/>
      <c r="AP58" s="5"/>
      <c r="AQ58" s="6"/>
      <c r="AR58" s="5"/>
      <c r="AS58" s="21"/>
      <c r="AT58" s="5"/>
      <c r="AU58" s="6"/>
      <c r="AV58" s="5"/>
      <c r="AW58" s="6"/>
      <c r="AX58" s="5"/>
      <c r="AY58" s="21"/>
      <c r="AZ58" s="6"/>
      <c r="BA58" s="6"/>
      <c r="BB58" s="6"/>
      <c r="BC58" s="7" t="str">
        <f t="shared" si="26"/>
        <v/>
      </c>
      <c r="BD58" s="7" t="str">
        <f t="shared" si="27"/>
        <v/>
      </c>
      <c r="BE58" s="4"/>
      <c r="BF58" s="16"/>
      <c r="BG58" s="16" t="str">
        <f t="shared" si="2"/>
        <v/>
      </c>
      <c r="BH58" s="16" t="str">
        <f t="shared" si="3"/>
        <v/>
      </c>
      <c r="BI58" s="16" t="str">
        <f t="shared" si="4"/>
        <v/>
      </c>
      <c r="BJ58" s="16" t="str">
        <f t="shared" si="5"/>
        <v/>
      </c>
      <c r="BK58" t="str">
        <f t="shared" si="6"/>
        <v/>
      </c>
      <c r="BL58" t="str">
        <f t="shared" si="7"/>
        <v/>
      </c>
      <c r="BM58" t="str">
        <f t="shared" si="8"/>
        <v/>
      </c>
      <c r="BN58" t="str">
        <f t="shared" si="9"/>
        <v/>
      </c>
      <c r="BO58" t="str">
        <f t="shared" si="10"/>
        <v/>
      </c>
      <c r="BP58" t="str">
        <f t="shared" si="11"/>
        <v/>
      </c>
      <c r="BQ58" t="str">
        <f t="shared" si="12"/>
        <v/>
      </c>
      <c r="BR58" t="str">
        <f t="shared" si="13"/>
        <v/>
      </c>
      <c r="BS58" t="str">
        <f t="shared" si="14"/>
        <v/>
      </c>
      <c r="BT58" t="str">
        <f t="shared" si="15"/>
        <v/>
      </c>
      <c r="BU58" t="str">
        <f t="shared" si="16"/>
        <v/>
      </c>
      <c r="BV58" t="str">
        <f t="shared" si="17"/>
        <v/>
      </c>
      <c r="BW58" t="str">
        <f t="shared" si="18"/>
        <v/>
      </c>
      <c r="BX58" t="str">
        <f t="shared" si="19"/>
        <v/>
      </c>
      <c r="BY58" t="str">
        <f t="shared" si="20"/>
        <v/>
      </c>
      <c r="BZ58" t="str">
        <f t="shared" si="21"/>
        <v/>
      </c>
      <c r="CA58" t="str">
        <f t="shared" si="22"/>
        <v/>
      </c>
      <c r="CB58" t="str">
        <f t="shared" si="23"/>
        <v/>
      </c>
      <c r="CC58" t="str">
        <f t="shared" si="24"/>
        <v/>
      </c>
      <c r="CD58" t="str">
        <f t="shared" si="25"/>
        <v/>
      </c>
    </row>
    <row r="59" spans="1:82" ht="33.6" customHeight="1" x14ac:dyDescent="0.3">
      <c r="A59" s="4"/>
      <c r="B59" s="4"/>
      <c r="C59" s="4"/>
      <c r="D59" s="5"/>
      <c r="E59" s="6"/>
      <c r="F59" s="5"/>
      <c r="G59" s="6"/>
      <c r="H59" s="5"/>
      <c r="I59" s="21"/>
      <c r="J59" s="5"/>
      <c r="K59" s="6"/>
      <c r="L59" s="5"/>
      <c r="M59" s="6"/>
      <c r="N59" s="5"/>
      <c r="O59" s="6"/>
      <c r="P59" s="5"/>
      <c r="Q59" s="6"/>
      <c r="R59" s="5"/>
      <c r="S59" s="6"/>
      <c r="T59" s="5"/>
      <c r="U59" s="21"/>
      <c r="V59" s="5"/>
      <c r="W59" s="6"/>
      <c r="X59" s="5"/>
      <c r="Y59" s="6"/>
      <c r="Z59" s="5"/>
      <c r="AA59" s="6"/>
      <c r="AB59" s="5"/>
      <c r="AC59" s="6"/>
      <c r="AD59" s="5"/>
      <c r="AE59" s="6"/>
      <c r="AF59" s="5"/>
      <c r="AG59" s="21"/>
      <c r="AH59" s="5"/>
      <c r="AI59" s="6"/>
      <c r="AJ59" s="5"/>
      <c r="AK59" s="6"/>
      <c r="AL59" s="5"/>
      <c r="AM59" s="21"/>
      <c r="AN59" s="5"/>
      <c r="AO59" s="6"/>
      <c r="AP59" s="5"/>
      <c r="AQ59" s="6"/>
      <c r="AR59" s="5"/>
      <c r="AS59" s="21"/>
      <c r="AT59" s="5"/>
      <c r="AU59" s="6"/>
      <c r="AV59" s="5"/>
      <c r="AW59" s="6"/>
      <c r="AX59" s="5"/>
      <c r="AY59" s="21"/>
      <c r="AZ59" s="6"/>
      <c r="BA59" s="6"/>
      <c r="BB59" s="6"/>
      <c r="BC59" s="7" t="str">
        <f t="shared" si="26"/>
        <v/>
      </c>
      <c r="BD59" s="7" t="str">
        <f t="shared" si="27"/>
        <v/>
      </c>
      <c r="BE59" s="4"/>
      <c r="BF59" s="16"/>
      <c r="BG59" s="16" t="str">
        <f t="shared" si="2"/>
        <v/>
      </c>
      <c r="BH59" s="16" t="str">
        <f t="shared" si="3"/>
        <v/>
      </c>
      <c r="BI59" s="16" t="str">
        <f t="shared" si="4"/>
        <v/>
      </c>
      <c r="BJ59" s="16" t="str">
        <f t="shared" si="5"/>
        <v/>
      </c>
      <c r="BK59" t="str">
        <f t="shared" si="6"/>
        <v/>
      </c>
      <c r="BL59" t="str">
        <f t="shared" si="7"/>
        <v/>
      </c>
      <c r="BM59" t="str">
        <f t="shared" si="8"/>
        <v/>
      </c>
      <c r="BN59" t="str">
        <f t="shared" si="9"/>
        <v/>
      </c>
      <c r="BO59" t="str">
        <f t="shared" si="10"/>
        <v/>
      </c>
      <c r="BP59" t="str">
        <f t="shared" si="11"/>
        <v/>
      </c>
      <c r="BQ59" t="str">
        <f t="shared" si="12"/>
        <v/>
      </c>
      <c r="BR59" t="str">
        <f t="shared" si="13"/>
        <v/>
      </c>
      <c r="BS59" t="str">
        <f t="shared" si="14"/>
        <v/>
      </c>
      <c r="BT59" t="str">
        <f t="shared" si="15"/>
        <v/>
      </c>
      <c r="BU59" t="str">
        <f t="shared" si="16"/>
        <v/>
      </c>
      <c r="BV59" t="str">
        <f t="shared" si="17"/>
        <v/>
      </c>
      <c r="BW59" t="str">
        <f t="shared" si="18"/>
        <v/>
      </c>
      <c r="BX59" t="str">
        <f t="shared" si="19"/>
        <v/>
      </c>
      <c r="BY59" t="str">
        <f t="shared" si="20"/>
        <v/>
      </c>
      <c r="BZ59" t="str">
        <f t="shared" si="21"/>
        <v/>
      </c>
      <c r="CA59" t="str">
        <f t="shared" si="22"/>
        <v/>
      </c>
      <c r="CB59" t="str">
        <f t="shared" si="23"/>
        <v/>
      </c>
      <c r="CC59" t="str">
        <f t="shared" si="24"/>
        <v/>
      </c>
      <c r="CD59" t="str">
        <f t="shared" si="25"/>
        <v/>
      </c>
    </row>
    <row r="60" spans="1:82" ht="33.6" customHeight="1" x14ac:dyDescent="0.3">
      <c r="A60" s="4"/>
      <c r="B60" s="4"/>
      <c r="C60" s="4"/>
      <c r="D60" s="5"/>
      <c r="E60" s="6"/>
      <c r="F60" s="5"/>
      <c r="G60" s="6"/>
      <c r="H60" s="5"/>
      <c r="I60" s="21"/>
      <c r="J60" s="5"/>
      <c r="K60" s="6"/>
      <c r="L60" s="5"/>
      <c r="M60" s="6"/>
      <c r="N60" s="5"/>
      <c r="O60" s="6"/>
      <c r="P60" s="5"/>
      <c r="Q60" s="6"/>
      <c r="R60" s="5"/>
      <c r="S60" s="6"/>
      <c r="T60" s="5"/>
      <c r="U60" s="21"/>
      <c r="V60" s="5"/>
      <c r="W60" s="6"/>
      <c r="X60" s="5"/>
      <c r="Y60" s="6"/>
      <c r="Z60" s="5"/>
      <c r="AA60" s="6"/>
      <c r="AB60" s="5"/>
      <c r="AC60" s="6"/>
      <c r="AD60" s="5"/>
      <c r="AE60" s="6"/>
      <c r="AF60" s="5"/>
      <c r="AG60" s="21"/>
      <c r="AH60" s="5"/>
      <c r="AI60" s="6"/>
      <c r="AJ60" s="5"/>
      <c r="AK60" s="6"/>
      <c r="AL60" s="5"/>
      <c r="AM60" s="21"/>
      <c r="AN60" s="5"/>
      <c r="AO60" s="6"/>
      <c r="AP60" s="5"/>
      <c r="AQ60" s="6"/>
      <c r="AR60" s="5"/>
      <c r="AS60" s="21"/>
      <c r="AT60" s="5"/>
      <c r="AU60" s="6"/>
      <c r="AV60" s="5"/>
      <c r="AW60" s="6"/>
      <c r="AX60" s="5"/>
      <c r="AY60" s="21"/>
      <c r="AZ60" s="6"/>
      <c r="BA60" s="6"/>
      <c r="BB60" s="6"/>
      <c r="BC60" s="7" t="str">
        <f t="shared" si="26"/>
        <v/>
      </c>
      <c r="BD60" s="7" t="str">
        <f t="shared" si="27"/>
        <v/>
      </c>
      <c r="BE60" s="4"/>
      <c r="BF60" s="16"/>
      <c r="BG60" s="16" t="str">
        <f t="shared" si="2"/>
        <v/>
      </c>
      <c r="BH60" s="16" t="str">
        <f t="shared" si="3"/>
        <v/>
      </c>
      <c r="BI60" s="16" t="str">
        <f t="shared" si="4"/>
        <v/>
      </c>
      <c r="BJ60" s="16" t="str">
        <f t="shared" si="5"/>
        <v/>
      </c>
      <c r="BK60" t="str">
        <f t="shared" si="6"/>
        <v/>
      </c>
      <c r="BL60" t="str">
        <f t="shared" si="7"/>
        <v/>
      </c>
      <c r="BM60" t="str">
        <f t="shared" si="8"/>
        <v/>
      </c>
      <c r="BN60" t="str">
        <f t="shared" si="9"/>
        <v/>
      </c>
      <c r="BO60" t="str">
        <f t="shared" si="10"/>
        <v/>
      </c>
      <c r="BP60" t="str">
        <f t="shared" si="11"/>
        <v/>
      </c>
      <c r="BQ60" t="str">
        <f t="shared" si="12"/>
        <v/>
      </c>
      <c r="BR60" t="str">
        <f t="shared" si="13"/>
        <v/>
      </c>
      <c r="BS60" t="str">
        <f t="shared" si="14"/>
        <v/>
      </c>
      <c r="BT60" t="str">
        <f t="shared" si="15"/>
        <v/>
      </c>
      <c r="BU60" t="str">
        <f t="shared" si="16"/>
        <v/>
      </c>
      <c r="BV60" t="str">
        <f t="shared" si="17"/>
        <v/>
      </c>
      <c r="BW60" t="str">
        <f t="shared" si="18"/>
        <v/>
      </c>
      <c r="BX60" t="str">
        <f t="shared" si="19"/>
        <v/>
      </c>
      <c r="BY60" t="str">
        <f t="shared" si="20"/>
        <v/>
      </c>
      <c r="BZ60" t="str">
        <f t="shared" si="21"/>
        <v/>
      </c>
      <c r="CA60" t="str">
        <f t="shared" si="22"/>
        <v/>
      </c>
      <c r="CB60" t="str">
        <f t="shared" si="23"/>
        <v/>
      </c>
      <c r="CC60" t="str">
        <f t="shared" si="24"/>
        <v/>
      </c>
      <c r="CD60" t="str">
        <f t="shared" si="25"/>
        <v/>
      </c>
    </row>
    <row r="61" spans="1:82" ht="33.6" customHeight="1" x14ac:dyDescent="0.3">
      <c r="A61" s="4"/>
      <c r="B61" s="4"/>
      <c r="C61" s="4"/>
      <c r="D61" s="5"/>
      <c r="E61" s="6"/>
      <c r="F61" s="5"/>
      <c r="G61" s="6"/>
      <c r="H61" s="5"/>
      <c r="I61" s="21"/>
      <c r="J61" s="5"/>
      <c r="K61" s="6"/>
      <c r="L61" s="5"/>
      <c r="M61" s="6"/>
      <c r="N61" s="5"/>
      <c r="O61" s="6"/>
      <c r="P61" s="5"/>
      <c r="Q61" s="6"/>
      <c r="R61" s="5"/>
      <c r="S61" s="6"/>
      <c r="T61" s="5"/>
      <c r="U61" s="21"/>
      <c r="V61" s="5"/>
      <c r="W61" s="6"/>
      <c r="X61" s="5"/>
      <c r="Y61" s="6"/>
      <c r="Z61" s="5"/>
      <c r="AA61" s="6"/>
      <c r="AB61" s="5"/>
      <c r="AC61" s="6"/>
      <c r="AD61" s="5"/>
      <c r="AE61" s="6"/>
      <c r="AF61" s="5"/>
      <c r="AG61" s="21"/>
      <c r="AH61" s="5"/>
      <c r="AI61" s="6"/>
      <c r="AJ61" s="5"/>
      <c r="AK61" s="6"/>
      <c r="AL61" s="5"/>
      <c r="AM61" s="21"/>
      <c r="AN61" s="5"/>
      <c r="AO61" s="6"/>
      <c r="AP61" s="5"/>
      <c r="AQ61" s="6"/>
      <c r="AR61" s="5"/>
      <c r="AS61" s="21"/>
      <c r="AT61" s="5"/>
      <c r="AU61" s="6"/>
      <c r="AV61" s="5"/>
      <c r="AW61" s="6"/>
      <c r="AX61" s="5"/>
      <c r="AY61" s="21"/>
      <c r="AZ61" s="6"/>
      <c r="BA61" s="6"/>
      <c r="BB61" s="6"/>
      <c r="BC61" s="7" t="str">
        <f t="shared" si="26"/>
        <v/>
      </c>
      <c r="BD61" s="7" t="str">
        <f t="shared" si="27"/>
        <v/>
      </c>
      <c r="BE61" s="4"/>
      <c r="BF61" s="16"/>
      <c r="BG61" s="16" t="str">
        <f t="shared" si="2"/>
        <v/>
      </c>
      <c r="BH61" s="16" t="str">
        <f t="shared" si="3"/>
        <v/>
      </c>
      <c r="BI61" s="16" t="str">
        <f t="shared" si="4"/>
        <v/>
      </c>
      <c r="BJ61" s="16" t="str">
        <f t="shared" si="5"/>
        <v/>
      </c>
      <c r="BK61" t="str">
        <f t="shared" si="6"/>
        <v/>
      </c>
      <c r="BL61" t="str">
        <f t="shared" si="7"/>
        <v/>
      </c>
      <c r="BM61" t="str">
        <f t="shared" si="8"/>
        <v/>
      </c>
      <c r="BN61" t="str">
        <f t="shared" si="9"/>
        <v/>
      </c>
      <c r="BO61" t="str">
        <f t="shared" si="10"/>
        <v/>
      </c>
      <c r="BP61" t="str">
        <f t="shared" si="11"/>
        <v/>
      </c>
      <c r="BQ61" t="str">
        <f t="shared" si="12"/>
        <v/>
      </c>
      <c r="BR61" t="str">
        <f t="shared" si="13"/>
        <v/>
      </c>
      <c r="BS61" t="str">
        <f t="shared" si="14"/>
        <v/>
      </c>
      <c r="BT61" t="str">
        <f t="shared" si="15"/>
        <v/>
      </c>
      <c r="BU61" t="str">
        <f t="shared" si="16"/>
        <v/>
      </c>
      <c r="BV61" t="str">
        <f t="shared" si="17"/>
        <v/>
      </c>
      <c r="BW61" t="str">
        <f t="shared" si="18"/>
        <v/>
      </c>
      <c r="BX61" t="str">
        <f t="shared" si="19"/>
        <v/>
      </c>
      <c r="BY61" t="str">
        <f t="shared" si="20"/>
        <v/>
      </c>
      <c r="BZ61" t="str">
        <f t="shared" si="21"/>
        <v/>
      </c>
      <c r="CA61" t="str">
        <f t="shared" si="22"/>
        <v/>
      </c>
      <c r="CB61" t="str">
        <f t="shared" si="23"/>
        <v/>
      </c>
      <c r="CC61" t="str">
        <f t="shared" si="24"/>
        <v/>
      </c>
      <c r="CD61" t="str">
        <f t="shared" si="25"/>
        <v/>
      </c>
    </row>
    <row r="62" spans="1:82" ht="33.6" customHeight="1" x14ac:dyDescent="0.3">
      <c r="A62" s="4"/>
      <c r="B62" s="4"/>
      <c r="C62" s="4"/>
      <c r="D62" s="5"/>
      <c r="E62" s="6"/>
      <c r="F62" s="5"/>
      <c r="G62" s="6"/>
      <c r="H62" s="5"/>
      <c r="I62" s="21"/>
      <c r="J62" s="5"/>
      <c r="K62" s="6"/>
      <c r="L62" s="5"/>
      <c r="M62" s="6"/>
      <c r="N62" s="5"/>
      <c r="O62" s="6"/>
      <c r="P62" s="5"/>
      <c r="Q62" s="6"/>
      <c r="R62" s="5"/>
      <c r="S62" s="6"/>
      <c r="T62" s="5"/>
      <c r="U62" s="21"/>
      <c r="V62" s="5"/>
      <c r="W62" s="6"/>
      <c r="X62" s="5"/>
      <c r="Y62" s="6"/>
      <c r="Z62" s="5"/>
      <c r="AA62" s="6"/>
      <c r="AB62" s="5"/>
      <c r="AC62" s="6"/>
      <c r="AD62" s="5"/>
      <c r="AE62" s="6"/>
      <c r="AF62" s="5"/>
      <c r="AG62" s="21"/>
      <c r="AH62" s="5"/>
      <c r="AI62" s="6"/>
      <c r="AJ62" s="5"/>
      <c r="AK62" s="6"/>
      <c r="AL62" s="5"/>
      <c r="AM62" s="21"/>
      <c r="AN62" s="5"/>
      <c r="AO62" s="6"/>
      <c r="AP62" s="5"/>
      <c r="AQ62" s="6"/>
      <c r="AR62" s="5"/>
      <c r="AS62" s="21"/>
      <c r="AT62" s="5"/>
      <c r="AU62" s="6"/>
      <c r="AV62" s="5"/>
      <c r="AW62" s="6"/>
      <c r="AX62" s="5"/>
      <c r="AY62" s="21"/>
      <c r="AZ62" s="6"/>
      <c r="BA62" s="6"/>
      <c r="BB62" s="6"/>
      <c r="BC62" s="7" t="str">
        <f t="shared" si="26"/>
        <v/>
      </c>
      <c r="BD62" s="7" t="str">
        <f t="shared" si="27"/>
        <v/>
      </c>
      <c r="BE62" s="4"/>
      <c r="BF62" s="16"/>
      <c r="BG62" s="16" t="str">
        <f t="shared" si="2"/>
        <v/>
      </c>
      <c r="BH62" s="16" t="str">
        <f t="shared" si="3"/>
        <v/>
      </c>
      <c r="BI62" s="16" t="str">
        <f t="shared" si="4"/>
        <v/>
      </c>
      <c r="BJ62" s="16" t="str">
        <f t="shared" si="5"/>
        <v/>
      </c>
      <c r="BK62" t="str">
        <f t="shared" si="6"/>
        <v/>
      </c>
      <c r="BL62" t="str">
        <f t="shared" si="7"/>
        <v/>
      </c>
      <c r="BM62" t="str">
        <f t="shared" si="8"/>
        <v/>
      </c>
      <c r="BN62" t="str">
        <f t="shared" si="9"/>
        <v/>
      </c>
      <c r="BO62" t="str">
        <f t="shared" si="10"/>
        <v/>
      </c>
      <c r="BP62" t="str">
        <f t="shared" si="11"/>
        <v/>
      </c>
      <c r="BQ62" t="str">
        <f t="shared" si="12"/>
        <v/>
      </c>
      <c r="BR62" t="str">
        <f t="shared" si="13"/>
        <v/>
      </c>
      <c r="BS62" t="str">
        <f t="shared" si="14"/>
        <v/>
      </c>
      <c r="BT62" t="str">
        <f t="shared" si="15"/>
        <v/>
      </c>
      <c r="BU62" t="str">
        <f t="shared" si="16"/>
        <v/>
      </c>
      <c r="BV62" t="str">
        <f t="shared" si="17"/>
        <v/>
      </c>
      <c r="BW62" t="str">
        <f t="shared" si="18"/>
        <v/>
      </c>
      <c r="BX62" t="str">
        <f t="shared" si="19"/>
        <v/>
      </c>
      <c r="BY62" t="str">
        <f t="shared" si="20"/>
        <v/>
      </c>
      <c r="BZ62" t="str">
        <f t="shared" si="21"/>
        <v/>
      </c>
      <c r="CA62" t="str">
        <f t="shared" si="22"/>
        <v/>
      </c>
      <c r="CB62" t="str">
        <f t="shared" si="23"/>
        <v/>
      </c>
      <c r="CC62" t="str">
        <f t="shared" si="24"/>
        <v/>
      </c>
      <c r="CD62" t="str">
        <f t="shared" si="25"/>
        <v/>
      </c>
    </row>
    <row r="63" spans="1:82" ht="33.6" customHeight="1" x14ac:dyDescent="0.3">
      <c r="A63" s="4"/>
      <c r="B63" s="4"/>
      <c r="C63" s="4"/>
      <c r="D63" s="5"/>
      <c r="E63" s="6"/>
      <c r="F63" s="5"/>
      <c r="G63" s="6"/>
      <c r="H63" s="5"/>
      <c r="I63" s="21"/>
      <c r="J63" s="5"/>
      <c r="K63" s="6"/>
      <c r="L63" s="5"/>
      <c r="M63" s="6"/>
      <c r="N63" s="5"/>
      <c r="O63" s="6"/>
      <c r="P63" s="5"/>
      <c r="Q63" s="6"/>
      <c r="R63" s="5"/>
      <c r="S63" s="6"/>
      <c r="T63" s="5"/>
      <c r="U63" s="21"/>
      <c r="V63" s="5"/>
      <c r="W63" s="6"/>
      <c r="X63" s="5"/>
      <c r="Y63" s="6"/>
      <c r="Z63" s="5"/>
      <c r="AA63" s="6"/>
      <c r="AB63" s="5"/>
      <c r="AC63" s="6"/>
      <c r="AD63" s="5"/>
      <c r="AE63" s="6"/>
      <c r="AF63" s="5"/>
      <c r="AG63" s="21"/>
      <c r="AH63" s="5"/>
      <c r="AI63" s="6"/>
      <c r="AJ63" s="5"/>
      <c r="AK63" s="6"/>
      <c r="AL63" s="5"/>
      <c r="AM63" s="21"/>
      <c r="AN63" s="5"/>
      <c r="AO63" s="6"/>
      <c r="AP63" s="5"/>
      <c r="AQ63" s="6"/>
      <c r="AR63" s="5"/>
      <c r="AS63" s="21"/>
      <c r="AT63" s="5"/>
      <c r="AU63" s="6"/>
      <c r="AV63" s="5"/>
      <c r="AW63" s="6"/>
      <c r="AX63" s="5"/>
      <c r="AY63" s="21"/>
      <c r="AZ63" s="6"/>
      <c r="BA63" s="6"/>
      <c r="BB63" s="6"/>
      <c r="BC63" s="7" t="str">
        <f t="shared" si="26"/>
        <v/>
      </c>
      <c r="BD63" s="7" t="str">
        <f t="shared" si="27"/>
        <v/>
      </c>
      <c r="BE63" s="4"/>
      <c r="BF63" s="16"/>
      <c r="BG63" s="16" t="str">
        <f t="shared" si="2"/>
        <v/>
      </c>
      <c r="BH63" s="16" t="str">
        <f t="shared" si="3"/>
        <v/>
      </c>
      <c r="BI63" s="16" t="str">
        <f t="shared" si="4"/>
        <v/>
      </c>
      <c r="BJ63" s="16" t="str">
        <f t="shared" si="5"/>
        <v/>
      </c>
      <c r="BK63" t="str">
        <f t="shared" si="6"/>
        <v/>
      </c>
      <c r="BL63" t="str">
        <f t="shared" si="7"/>
        <v/>
      </c>
      <c r="BM63" t="str">
        <f t="shared" si="8"/>
        <v/>
      </c>
      <c r="BN63" t="str">
        <f t="shared" si="9"/>
        <v/>
      </c>
      <c r="BO63" t="str">
        <f t="shared" si="10"/>
        <v/>
      </c>
      <c r="BP63" t="str">
        <f t="shared" si="11"/>
        <v/>
      </c>
      <c r="BQ63" t="str">
        <f t="shared" si="12"/>
        <v/>
      </c>
      <c r="BR63" t="str">
        <f t="shared" si="13"/>
        <v/>
      </c>
      <c r="BS63" t="str">
        <f t="shared" si="14"/>
        <v/>
      </c>
      <c r="BT63" t="str">
        <f t="shared" si="15"/>
        <v/>
      </c>
      <c r="BU63" t="str">
        <f t="shared" si="16"/>
        <v/>
      </c>
      <c r="BV63" t="str">
        <f t="shared" si="17"/>
        <v/>
      </c>
      <c r="BW63" t="str">
        <f t="shared" si="18"/>
        <v/>
      </c>
      <c r="BX63" t="str">
        <f t="shared" si="19"/>
        <v/>
      </c>
      <c r="BY63" t="str">
        <f t="shared" si="20"/>
        <v/>
      </c>
      <c r="BZ63" t="str">
        <f t="shared" si="21"/>
        <v/>
      </c>
      <c r="CA63" t="str">
        <f t="shared" si="22"/>
        <v/>
      </c>
      <c r="CB63" t="str">
        <f t="shared" si="23"/>
        <v/>
      </c>
      <c r="CC63" t="str">
        <f t="shared" si="24"/>
        <v/>
      </c>
      <c r="CD63" t="str">
        <f t="shared" si="25"/>
        <v/>
      </c>
    </row>
    <row r="64" spans="1:82" ht="33.6" customHeight="1" x14ac:dyDescent="0.3">
      <c r="A64" s="4"/>
      <c r="B64" s="4"/>
      <c r="C64" s="4"/>
      <c r="D64" s="5"/>
      <c r="E64" s="6"/>
      <c r="F64" s="5"/>
      <c r="G64" s="6"/>
      <c r="H64" s="5"/>
      <c r="I64" s="21"/>
      <c r="J64" s="5"/>
      <c r="K64" s="6"/>
      <c r="L64" s="5"/>
      <c r="M64" s="6"/>
      <c r="N64" s="5"/>
      <c r="O64" s="6"/>
      <c r="P64" s="5"/>
      <c r="Q64" s="6"/>
      <c r="R64" s="5"/>
      <c r="S64" s="6"/>
      <c r="T64" s="5"/>
      <c r="U64" s="21"/>
      <c r="V64" s="5"/>
      <c r="W64" s="6"/>
      <c r="X64" s="5"/>
      <c r="Y64" s="6"/>
      <c r="Z64" s="5"/>
      <c r="AA64" s="6"/>
      <c r="AB64" s="5"/>
      <c r="AC64" s="6"/>
      <c r="AD64" s="5"/>
      <c r="AE64" s="6"/>
      <c r="AF64" s="5"/>
      <c r="AG64" s="21"/>
      <c r="AH64" s="5"/>
      <c r="AI64" s="6"/>
      <c r="AJ64" s="5"/>
      <c r="AK64" s="6"/>
      <c r="AL64" s="5"/>
      <c r="AM64" s="21"/>
      <c r="AN64" s="5"/>
      <c r="AO64" s="6"/>
      <c r="AP64" s="5"/>
      <c r="AQ64" s="6"/>
      <c r="AR64" s="5"/>
      <c r="AS64" s="21"/>
      <c r="AT64" s="5"/>
      <c r="AU64" s="6"/>
      <c r="AV64" s="5"/>
      <c r="AW64" s="6"/>
      <c r="AX64" s="5"/>
      <c r="AY64" s="21"/>
      <c r="AZ64" s="6"/>
      <c r="BA64" s="6"/>
      <c r="BB64" s="6"/>
      <c r="BC64" s="7" t="str">
        <f t="shared" si="26"/>
        <v/>
      </c>
      <c r="BD64" s="7" t="str">
        <f t="shared" si="27"/>
        <v/>
      </c>
      <c r="BE64" s="4"/>
      <c r="BF64" s="16"/>
      <c r="BG64" s="16" t="str">
        <f t="shared" si="2"/>
        <v/>
      </c>
      <c r="BH64" s="16" t="str">
        <f t="shared" si="3"/>
        <v/>
      </c>
      <c r="BI64" s="16" t="str">
        <f t="shared" si="4"/>
        <v/>
      </c>
      <c r="BJ64" s="16" t="str">
        <f t="shared" si="5"/>
        <v/>
      </c>
      <c r="BK64" t="str">
        <f t="shared" si="6"/>
        <v/>
      </c>
      <c r="BL64" t="str">
        <f t="shared" si="7"/>
        <v/>
      </c>
      <c r="BM64" t="str">
        <f t="shared" si="8"/>
        <v/>
      </c>
      <c r="BN64" t="str">
        <f t="shared" si="9"/>
        <v/>
      </c>
      <c r="BO64" t="str">
        <f t="shared" si="10"/>
        <v/>
      </c>
      <c r="BP64" t="str">
        <f t="shared" si="11"/>
        <v/>
      </c>
      <c r="BQ64" t="str">
        <f t="shared" si="12"/>
        <v/>
      </c>
      <c r="BR64" t="str">
        <f t="shared" si="13"/>
        <v/>
      </c>
      <c r="BS64" t="str">
        <f t="shared" si="14"/>
        <v/>
      </c>
      <c r="BT64" t="str">
        <f t="shared" si="15"/>
        <v/>
      </c>
      <c r="BU64" t="str">
        <f t="shared" si="16"/>
        <v/>
      </c>
      <c r="BV64" t="str">
        <f t="shared" si="17"/>
        <v/>
      </c>
      <c r="BW64" t="str">
        <f t="shared" si="18"/>
        <v/>
      </c>
      <c r="BX64" t="str">
        <f t="shared" si="19"/>
        <v/>
      </c>
      <c r="BY64" t="str">
        <f t="shared" si="20"/>
        <v/>
      </c>
      <c r="BZ64" t="str">
        <f t="shared" si="21"/>
        <v/>
      </c>
      <c r="CA64" t="str">
        <f t="shared" si="22"/>
        <v/>
      </c>
      <c r="CB64" t="str">
        <f t="shared" si="23"/>
        <v/>
      </c>
      <c r="CC64" t="str">
        <f t="shared" si="24"/>
        <v/>
      </c>
      <c r="CD64" t="str">
        <f t="shared" si="25"/>
        <v/>
      </c>
    </row>
    <row r="65" spans="1:82" ht="33.6" customHeight="1" x14ac:dyDescent="0.3">
      <c r="A65" s="4"/>
      <c r="B65" s="4"/>
      <c r="C65" s="4"/>
      <c r="D65" s="5"/>
      <c r="E65" s="6"/>
      <c r="F65" s="5"/>
      <c r="G65" s="6"/>
      <c r="H65" s="5"/>
      <c r="I65" s="21"/>
      <c r="J65" s="5"/>
      <c r="K65" s="6"/>
      <c r="L65" s="5"/>
      <c r="M65" s="6"/>
      <c r="N65" s="5"/>
      <c r="O65" s="6"/>
      <c r="P65" s="5"/>
      <c r="Q65" s="6"/>
      <c r="R65" s="5"/>
      <c r="S65" s="6"/>
      <c r="T65" s="5"/>
      <c r="U65" s="21"/>
      <c r="V65" s="5"/>
      <c r="W65" s="6"/>
      <c r="X65" s="5"/>
      <c r="Y65" s="6"/>
      <c r="Z65" s="5"/>
      <c r="AA65" s="6"/>
      <c r="AB65" s="5"/>
      <c r="AC65" s="6"/>
      <c r="AD65" s="5"/>
      <c r="AE65" s="6"/>
      <c r="AF65" s="5"/>
      <c r="AG65" s="21"/>
      <c r="AH65" s="5"/>
      <c r="AI65" s="6"/>
      <c r="AJ65" s="5"/>
      <c r="AK65" s="6"/>
      <c r="AL65" s="5"/>
      <c r="AM65" s="21"/>
      <c r="AN65" s="5"/>
      <c r="AO65" s="6"/>
      <c r="AP65" s="5"/>
      <c r="AQ65" s="6"/>
      <c r="AR65" s="5"/>
      <c r="AS65" s="21"/>
      <c r="AT65" s="5"/>
      <c r="AU65" s="6"/>
      <c r="AV65" s="5"/>
      <c r="AW65" s="6"/>
      <c r="AX65" s="5"/>
      <c r="AY65" s="21"/>
      <c r="AZ65" s="6"/>
      <c r="BA65" s="6"/>
      <c r="BB65" s="6"/>
      <c r="BC65" s="7" t="str">
        <f t="shared" si="26"/>
        <v/>
      </c>
      <c r="BD65" s="7" t="str">
        <f t="shared" si="27"/>
        <v/>
      </c>
      <c r="BE65" s="4"/>
      <c r="BF65" s="16"/>
      <c r="BG65" s="16" t="str">
        <f t="shared" si="2"/>
        <v/>
      </c>
      <c r="BH65" s="16" t="str">
        <f t="shared" si="3"/>
        <v/>
      </c>
      <c r="BI65" s="16" t="str">
        <f t="shared" si="4"/>
        <v/>
      </c>
      <c r="BJ65" s="16" t="str">
        <f t="shared" si="5"/>
        <v/>
      </c>
      <c r="BK65" t="str">
        <f t="shared" si="6"/>
        <v/>
      </c>
      <c r="BL65" t="str">
        <f t="shared" si="7"/>
        <v/>
      </c>
      <c r="BM65" t="str">
        <f t="shared" si="8"/>
        <v/>
      </c>
      <c r="BN65" t="str">
        <f t="shared" si="9"/>
        <v/>
      </c>
      <c r="BO65" t="str">
        <f t="shared" si="10"/>
        <v/>
      </c>
      <c r="BP65" t="str">
        <f t="shared" si="11"/>
        <v/>
      </c>
      <c r="BQ65" t="str">
        <f t="shared" si="12"/>
        <v/>
      </c>
      <c r="BR65" t="str">
        <f t="shared" si="13"/>
        <v/>
      </c>
      <c r="BS65" t="str">
        <f t="shared" si="14"/>
        <v/>
      </c>
      <c r="BT65" t="str">
        <f t="shared" si="15"/>
        <v/>
      </c>
      <c r="BU65" t="str">
        <f t="shared" si="16"/>
        <v/>
      </c>
      <c r="BV65" t="str">
        <f t="shared" si="17"/>
        <v/>
      </c>
      <c r="BW65" t="str">
        <f t="shared" si="18"/>
        <v/>
      </c>
      <c r="BX65" t="str">
        <f t="shared" si="19"/>
        <v/>
      </c>
      <c r="BY65" t="str">
        <f t="shared" si="20"/>
        <v/>
      </c>
      <c r="BZ65" t="str">
        <f t="shared" si="21"/>
        <v/>
      </c>
      <c r="CA65" t="str">
        <f t="shared" si="22"/>
        <v/>
      </c>
      <c r="CB65" t="str">
        <f t="shared" si="23"/>
        <v/>
      </c>
      <c r="CC65" t="str">
        <f t="shared" si="24"/>
        <v/>
      </c>
      <c r="CD65" t="str">
        <f t="shared" si="25"/>
        <v/>
      </c>
    </row>
    <row r="66" spans="1:82" ht="33.6" customHeight="1" x14ac:dyDescent="0.3">
      <c r="A66" s="4"/>
      <c r="B66" s="4"/>
      <c r="C66" s="4"/>
      <c r="D66" s="5"/>
      <c r="E66" s="6"/>
      <c r="F66" s="5"/>
      <c r="G66" s="6"/>
      <c r="H66" s="5"/>
      <c r="I66" s="21"/>
      <c r="J66" s="5"/>
      <c r="K66" s="6"/>
      <c r="L66" s="5"/>
      <c r="M66" s="6"/>
      <c r="N66" s="5"/>
      <c r="O66" s="6"/>
      <c r="P66" s="5"/>
      <c r="Q66" s="6"/>
      <c r="R66" s="5"/>
      <c r="S66" s="6"/>
      <c r="T66" s="5"/>
      <c r="U66" s="21"/>
      <c r="V66" s="5"/>
      <c r="W66" s="6"/>
      <c r="X66" s="5"/>
      <c r="Y66" s="6"/>
      <c r="Z66" s="5"/>
      <c r="AA66" s="6"/>
      <c r="AB66" s="5"/>
      <c r="AC66" s="6"/>
      <c r="AD66" s="5"/>
      <c r="AE66" s="6"/>
      <c r="AF66" s="5"/>
      <c r="AG66" s="21"/>
      <c r="AH66" s="5"/>
      <c r="AI66" s="6"/>
      <c r="AJ66" s="5"/>
      <c r="AK66" s="6"/>
      <c r="AL66" s="5"/>
      <c r="AM66" s="21"/>
      <c r="AN66" s="5"/>
      <c r="AO66" s="6"/>
      <c r="AP66" s="5"/>
      <c r="AQ66" s="6"/>
      <c r="AR66" s="5"/>
      <c r="AS66" s="21"/>
      <c r="AT66" s="5"/>
      <c r="AU66" s="6"/>
      <c r="AV66" s="5"/>
      <c r="AW66" s="6"/>
      <c r="AX66" s="5"/>
      <c r="AY66" s="21"/>
      <c r="AZ66" s="6"/>
      <c r="BA66" s="6"/>
      <c r="BB66" s="6"/>
      <c r="BC66" s="7" t="str">
        <f t="shared" si="26"/>
        <v/>
      </c>
      <c r="BD66" s="7" t="str">
        <f t="shared" si="27"/>
        <v/>
      </c>
      <c r="BE66" s="4"/>
      <c r="BF66" s="16"/>
      <c r="BG66" s="16" t="str">
        <f t="shared" si="2"/>
        <v/>
      </c>
      <c r="BH66" s="16" t="str">
        <f t="shared" si="3"/>
        <v/>
      </c>
      <c r="BI66" s="16" t="str">
        <f t="shared" si="4"/>
        <v/>
      </c>
      <c r="BJ66" s="16" t="str">
        <f t="shared" si="5"/>
        <v/>
      </c>
      <c r="BK66" t="str">
        <f t="shared" si="6"/>
        <v/>
      </c>
      <c r="BL66" t="str">
        <f t="shared" si="7"/>
        <v/>
      </c>
      <c r="BM66" t="str">
        <f t="shared" si="8"/>
        <v/>
      </c>
      <c r="BN66" t="str">
        <f t="shared" si="9"/>
        <v/>
      </c>
      <c r="BO66" t="str">
        <f t="shared" si="10"/>
        <v/>
      </c>
      <c r="BP66" t="str">
        <f t="shared" si="11"/>
        <v/>
      </c>
      <c r="BQ66" t="str">
        <f t="shared" si="12"/>
        <v/>
      </c>
      <c r="BR66" t="str">
        <f t="shared" si="13"/>
        <v/>
      </c>
      <c r="BS66" t="str">
        <f t="shared" si="14"/>
        <v/>
      </c>
      <c r="BT66" t="str">
        <f t="shared" si="15"/>
        <v/>
      </c>
      <c r="BU66" t="str">
        <f t="shared" si="16"/>
        <v/>
      </c>
      <c r="BV66" t="str">
        <f t="shared" si="17"/>
        <v/>
      </c>
      <c r="BW66" t="str">
        <f t="shared" si="18"/>
        <v/>
      </c>
      <c r="BX66" t="str">
        <f t="shared" si="19"/>
        <v/>
      </c>
      <c r="BY66" t="str">
        <f t="shared" si="20"/>
        <v/>
      </c>
      <c r="BZ66" t="str">
        <f t="shared" si="21"/>
        <v/>
      </c>
      <c r="CA66" t="str">
        <f t="shared" si="22"/>
        <v/>
      </c>
      <c r="CB66" t="str">
        <f t="shared" si="23"/>
        <v/>
      </c>
      <c r="CC66" t="str">
        <f t="shared" si="24"/>
        <v/>
      </c>
      <c r="CD66" t="str">
        <f t="shared" si="25"/>
        <v/>
      </c>
    </row>
    <row r="67" spans="1:82" ht="33.6" customHeight="1" x14ac:dyDescent="0.3">
      <c r="A67" s="4"/>
      <c r="B67" s="4"/>
      <c r="C67" s="4"/>
      <c r="D67" s="5"/>
      <c r="E67" s="6"/>
      <c r="F67" s="5"/>
      <c r="G67" s="6"/>
      <c r="H67" s="5"/>
      <c r="I67" s="21"/>
      <c r="J67" s="5"/>
      <c r="K67" s="6"/>
      <c r="L67" s="5"/>
      <c r="M67" s="6"/>
      <c r="N67" s="5"/>
      <c r="O67" s="6"/>
      <c r="P67" s="5"/>
      <c r="Q67" s="6"/>
      <c r="R67" s="5"/>
      <c r="S67" s="6"/>
      <c r="T67" s="5"/>
      <c r="U67" s="21"/>
      <c r="V67" s="5"/>
      <c r="W67" s="6"/>
      <c r="X67" s="5"/>
      <c r="Y67" s="6"/>
      <c r="Z67" s="5"/>
      <c r="AA67" s="6"/>
      <c r="AB67" s="5"/>
      <c r="AC67" s="6"/>
      <c r="AD67" s="5"/>
      <c r="AE67" s="6"/>
      <c r="AF67" s="5"/>
      <c r="AG67" s="21"/>
      <c r="AH67" s="5"/>
      <c r="AI67" s="6"/>
      <c r="AJ67" s="5"/>
      <c r="AK67" s="6"/>
      <c r="AL67" s="5"/>
      <c r="AM67" s="21"/>
      <c r="AN67" s="5"/>
      <c r="AO67" s="6"/>
      <c r="AP67" s="5"/>
      <c r="AQ67" s="6"/>
      <c r="AR67" s="5"/>
      <c r="AS67" s="21"/>
      <c r="AT67" s="5"/>
      <c r="AU67" s="6"/>
      <c r="AV67" s="5"/>
      <c r="AW67" s="6"/>
      <c r="AX67" s="5"/>
      <c r="AY67" s="21"/>
      <c r="AZ67" s="6"/>
      <c r="BA67" s="6"/>
      <c r="BB67" s="6"/>
      <c r="BC67" s="7" t="str">
        <f t="shared" si="26"/>
        <v/>
      </c>
      <c r="BD67" s="7" t="str">
        <f t="shared" si="27"/>
        <v/>
      </c>
      <c r="BE67" s="4"/>
      <c r="BF67" s="16"/>
      <c r="BG67" s="16" t="str">
        <f t="shared" si="2"/>
        <v/>
      </c>
      <c r="BH67" s="16" t="str">
        <f t="shared" si="3"/>
        <v/>
      </c>
      <c r="BI67" s="16" t="str">
        <f t="shared" si="4"/>
        <v/>
      </c>
      <c r="BJ67" s="16" t="str">
        <f t="shared" si="5"/>
        <v/>
      </c>
      <c r="BK67" t="str">
        <f t="shared" si="6"/>
        <v/>
      </c>
      <c r="BL67" t="str">
        <f t="shared" si="7"/>
        <v/>
      </c>
      <c r="BM67" t="str">
        <f t="shared" si="8"/>
        <v/>
      </c>
      <c r="BN67" t="str">
        <f t="shared" si="9"/>
        <v/>
      </c>
      <c r="BO67" t="str">
        <f t="shared" si="10"/>
        <v/>
      </c>
      <c r="BP67" t="str">
        <f t="shared" si="11"/>
        <v/>
      </c>
      <c r="BQ67" t="str">
        <f t="shared" si="12"/>
        <v/>
      </c>
      <c r="BR67" t="str">
        <f t="shared" si="13"/>
        <v/>
      </c>
      <c r="BS67" t="str">
        <f t="shared" si="14"/>
        <v/>
      </c>
      <c r="BT67" t="str">
        <f t="shared" si="15"/>
        <v/>
      </c>
      <c r="BU67" t="str">
        <f t="shared" si="16"/>
        <v/>
      </c>
      <c r="BV67" t="str">
        <f t="shared" si="17"/>
        <v/>
      </c>
      <c r="BW67" t="str">
        <f t="shared" si="18"/>
        <v/>
      </c>
      <c r="BX67" t="str">
        <f t="shared" si="19"/>
        <v/>
      </c>
      <c r="BY67" t="str">
        <f t="shared" si="20"/>
        <v/>
      </c>
      <c r="BZ67" t="str">
        <f t="shared" si="21"/>
        <v/>
      </c>
      <c r="CA67" t="str">
        <f t="shared" si="22"/>
        <v/>
      </c>
      <c r="CB67" t="str">
        <f t="shared" si="23"/>
        <v/>
      </c>
      <c r="CC67" t="str">
        <f t="shared" si="24"/>
        <v/>
      </c>
      <c r="CD67" t="str">
        <f t="shared" si="25"/>
        <v/>
      </c>
    </row>
    <row r="68" spans="1:82" ht="33.6" customHeight="1" x14ac:dyDescent="0.3">
      <c r="A68" s="4"/>
      <c r="B68" s="4"/>
      <c r="C68" s="4"/>
      <c r="D68" s="5"/>
      <c r="E68" s="6"/>
      <c r="F68" s="5"/>
      <c r="G68" s="6"/>
      <c r="H68" s="5"/>
      <c r="I68" s="21"/>
      <c r="J68" s="5"/>
      <c r="K68" s="6"/>
      <c r="L68" s="5"/>
      <c r="M68" s="6"/>
      <c r="N68" s="5"/>
      <c r="O68" s="6"/>
      <c r="P68" s="5"/>
      <c r="Q68" s="6"/>
      <c r="R68" s="5"/>
      <c r="S68" s="6"/>
      <c r="T68" s="5"/>
      <c r="U68" s="21"/>
      <c r="V68" s="5"/>
      <c r="W68" s="6"/>
      <c r="X68" s="5"/>
      <c r="Y68" s="6"/>
      <c r="Z68" s="5"/>
      <c r="AA68" s="6"/>
      <c r="AB68" s="5"/>
      <c r="AC68" s="6"/>
      <c r="AD68" s="5"/>
      <c r="AE68" s="6"/>
      <c r="AF68" s="5"/>
      <c r="AG68" s="21"/>
      <c r="AH68" s="5"/>
      <c r="AI68" s="6"/>
      <c r="AJ68" s="5"/>
      <c r="AK68" s="6"/>
      <c r="AL68" s="5"/>
      <c r="AM68" s="21"/>
      <c r="AN68" s="5"/>
      <c r="AO68" s="6"/>
      <c r="AP68" s="5"/>
      <c r="AQ68" s="6"/>
      <c r="AR68" s="5"/>
      <c r="AS68" s="21"/>
      <c r="AT68" s="5"/>
      <c r="AU68" s="6"/>
      <c r="AV68" s="5"/>
      <c r="AW68" s="6"/>
      <c r="AX68" s="5"/>
      <c r="AY68" s="21"/>
      <c r="AZ68" s="6"/>
      <c r="BA68" s="6"/>
      <c r="BB68" s="6"/>
      <c r="BC68" s="7" t="str">
        <f t="shared" ref="BC68:BC99" si="28">IFERROR((COUNTIF(D68:AX68,"A")*4+COUNTIF(D68:AX68,"B")*3+COUNTIF(D68:AX68,"C")*2+COUNTIF(D68:AX68,"D")*1)/(COUNTIF(D68:AX68,"A")+COUNTIF(D68:AX68,"B")+COUNTIF(D68:AX68,"C")+COUNTIF(D68:AX68,"D"))*25,"")</f>
        <v/>
      </c>
      <c r="BD68" s="7" t="str">
        <f t="shared" ref="BD68:BD99" si="29">IF(BC68="","",IF(BC68&gt;=85,"A",IF(BC68&gt;=70,"B",IF(BC68&gt;=50,"C","D"))))</f>
        <v/>
      </c>
      <c r="BE68" s="4"/>
      <c r="BF68" s="16"/>
      <c r="BG68" s="16" t="str">
        <f t="shared" ref="BG68:BG131" si="30">IF(D68="","",IF(D68="A",90,IF(D68="B",75,IF(D68="C",60,45))))</f>
        <v/>
      </c>
      <c r="BH68" s="16" t="str">
        <f t="shared" ref="BH68:BH131" si="31">IF(F68="","",IF(F68="A",90,IF(F68="B",75,IF(F68="C",60,45))))</f>
        <v/>
      </c>
      <c r="BI68" s="16" t="str">
        <f t="shared" ref="BI68:BI131" si="32">IF(H68="","",IF(H68="A",90,IF(H68="B",75,IF(H68="C",60,45))))</f>
        <v/>
      </c>
      <c r="BJ68" s="16" t="str">
        <f t="shared" ref="BJ68:BJ131" si="33">IF(J68="","",IF(J68="A",90,IF(J68="B",75,IF(J68="C",60,45))))</f>
        <v/>
      </c>
      <c r="BK68" t="str">
        <f t="shared" ref="BK68:BK131" si="34">IF(L68="","",IF(L68="A",90,IF(L68="B",75,IF(L68="C",60,45))))</f>
        <v/>
      </c>
      <c r="BL68" t="str">
        <f t="shared" ref="BL68:BL131" si="35">IF(N68="","",IF(N68="A",90,IF(N68="B",75,IF(N68="C",60,45))))</f>
        <v/>
      </c>
      <c r="BM68" t="str">
        <f t="shared" ref="BM68:BM131" si="36">IF(P68="","",IF(P68="A",90,IF(P68="B",75,IF(P68="C",60,45))))</f>
        <v/>
      </c>
      <c r="BN68" t="str">
        <f t="shared" ref="BN68:BN131" si="37">IF(R68="","",IF(R68="A",90,IF(R68="B",75,IF(R68="C",60,45))))</f>
        <v/>
      </c>
      <c r="BO68" t="str">
        <f t="shared" ref="BO68:BO131" si="38">IF(T68="","",IF(T68="A",90,IF(T68="B",75,IF(T68="C",60,45))))</f>
        <v/>
      </c>
      <c r="BP68" t="str">
        <f t="shared" ref="BP68:BP131" si="39">IF(V68="","",IF(V68="A",90,IF(V68="B",75,IF(V68="C",60,45))))</f>
        <v/>
      </c>
      <c r="BQ68" t="str">
        <f t="shared" ref="BQ68:BQ131" si="40">IF(X68="","",IF(X68="A",90,IF(X68="B",75,IF(X68="C",60,45))))</f>
        <v/>
      </c>
      <c r="BR68" t="str">
        <f t="shared" ref="BR68:BR131" si="41">IF(Z68="","",IF(Z68="A",90,IF(Z68="B",75,IF(Z68="C",60,45))))</f>
        <v/>
      </c>
      <c r="BS68" t="str">
        <f t="shared" ref="BS68:BS131" si="42">IF(AB68="","",IF(AB68="A",90,IF(AB68="B",75,IF(AB68="C",60,45))))</f>
        <v/>
      </c>
      <c r="BT68" t="str">
        <f t="shared" ref="BT68:BT131" si="43">IF(AD68="","",IF(AD68="A",90,IF(AD68="B",75,IF(AD68="C",60,45))))</f>
        <v/>
      </c>
      <c r="BU68" t="str">
        <f t="shared" ref="BU68:BU131" si="44">IF(AF68="","",IF(AF68="A",90,IF(AF68="B",75,IF(AF68="C",60,45))))</f>
        <v/>
      </c>
      <c r="BV68" t="str">
        <f t="shared" ref="BV68:BV131" si="45">IF(AH68="","",IF(AH68="A",90,IF(AH68="B",75,IF(AH68="C",60,45))))</f>
        <v/>
      </c>
      <c r="BW68" t="str">
        <f t="shared" ref="BW68:BW131" si="46">IF(AJ68="","",IF(AJ68="A",90,IF(AJ68="B",75,IF(AJ68="C",60,45))))</f>
        <v/>
      </c>
      <c r="BX68" t="str">
        <f t="shared" ref="BX68:BX131" si="47">IF(AL68="","",IF(AL68="A",90,IF(AL68="B",75,IF(AL68="C",60,45))))</f>
        <v/>
      </c>
      <c r="BY68" t="str">
        <f t="shared" ref="BY68:BY131" si="48">IF(AN68="","",IF(AN68="A",90,IF(AN68="B",75,IF(AN68="C",60,45))))</f>
        <v/>
      </c>
      <c r="BZ68" t="str">
        <f t="shared" ref="BZ68:BZ131" si="49">IF(AP68="","",IF(AP68="A",90,IF(AP68="B",75,IF(AP68="C",60,45))))</f>
        <v/>
      </c>
      <c r="CA68" t="str">
        <f t="shared" ref="CA68:CA131" si="50">IF(AR68="","",IF(AR68="A",90,IF(AR68="B",75,IF(AR68="C",60,45))))</f>
        <v/>
      </c>
      <c r="CB68" t="str">
        <f t="shared" ref="CB68:CB131" si="51">IF(AT68="","",IF(AT68="A",90,IF(AT68="B",75,IF(AT68="C",60,45))))</f>
        <v/>
      </c>
      <c r="CC68" t="str">
        <f t="shared" ref="CC68:CC131" si="52">IF(AV68="","",IF(AV68="A",90,IF(AV68="B",75,IF(AV68="C",60,45))))</f>
        <v/>
      </c>
      <c r="CD68" t="str">
        <f t="shared" ref="CD68:CD131" si="53">IF(AX68="","",IF(AX68="A",90,IF(AX68="B",75,IF(AX68="C",60,45))))</f>
        <v/>
      </c>
    </row>
    <row r="69" spans="1:82" ht="33.6" customHeight="1" x14ac:dyDescent="0.3">
      <c r="A69" s="4"/>
      <c r="B69" s="4"/>
      <c r="C69" s="4"/>
      <c r="D69" s="5"/>
      <c r="E69" s="6"/>
      <c r="F69" s="5"/>
      <c r="G69" s="6"/>
      <c r="H69" s="5"/>
      <c r="I69" s="21"/>
      <c r="J69" s="5"/>
      <c r="K69" s="6"/>
      <c r="L69" s="5"/>
      <c r="M69" s="6"/>
      <c r="N69" s="5"/>
      <c r="O69" s="6"/>
      <c r="P69" s="5"/>
      <c r="Q69" s="6"/>
      <c r="R69" s="5"/>
      <c r="S69" s="6"/>
      <c r="T69" s="5"/>
      <c r="U69" s="21"/>
      <c r="V69" s="5"/>
      <c r="W69" s="6"/>
      <c r="X69" s="5"/>
      <c r="Y69" s="6"/>
      <c r="Z69" s="5"/>
      <c r="AA69" s="6"/>
      <c r="AB69" s="5"/>
      <c r="AC69" s="6"/>
      <c r="AD69" s="5"/>
      <c r="AE69" s="6"/>
      <c r="AF69" s="5"/>
      <c r="AG69" s="21"/>
      <c r="AH69" s="5"/>
      <c r="AI69" s="6"/>
      <c r="AJ69" s="5"/>
      <c r="AK69" s="6"/>
      <c r="AL69" s="5"/>
      <c r="AM69" s="21"/>
      <c r="AN69" s="5"/>
      <c r="AO69" s="6"/>
      <c r="AP69" s="5"/>
      <c r="AQ69" s="6"/>
      <c r="AR69" s="5"/>
      <c r="AS69" s="21"/>
      <c r="AT69" s="5"/>
      <c r="AU69" s="6"/>
      <c r="AV69" s="5"/>
      <c r="AW69" s="6"/>
      <c r="AX69" s="5"/>
      <c r="AY69" s="21"/>
      <c r="AZ69" s="6"/>
      <c r="BA69" s="6"/>
      <c r="BB69" s="6"/>
      <c r="BC69" s="7" t="str">
        <f t="shared" si="28"/>
        <v/>
      </c>
      <c r="BD69" s="7" t="str">
        <f t="shared" si="29"/>
        <v/>
      </c>
      <c r="BE69" s="4"/>
      <c r="BF69" s="16"/>
      <c r="BG69" s="16" t="str">
        <f t="shared" si="30"/>
        <v/>
      </c>
      <c r="BH69" s="16" t="str">
        <f t="shared" si="31"/>
        <v/>
      </c>
      <c r="BI69" s="16" t="str">
        <f t="shared" si="32"/>
        <v/>
      </c>
      <c r="BJ69" s="16" t="str">
        <f t="shared" si="33"/>
        <v/>
      </c>
      <c r="BK69" t="str">
        <f t="shared" si="34"/>
        <v/>
      </c>
      <c r="BL69" t="str">
        <f t="shared" si="35"/>
        <v/>
      </c>
      <c r="BM69" t="str">
        <f t="shared" si="36"/>
        <v/>
      </c>
      <c r="BN69" t="str">
        <f t="shared" si="37"/>
        <v/>
      </c>
      <c r="BO69" t="str">
        <f t="shared" si="38"/>
        <v/>
      </c>
      <c r="BP69" t="str">
        <f t="shared" si="39"/>
        <v/>
      </c>
      <c r="BQ69" t="str">
        <f t="shared" si="40"/>
        <v/>
      </c>
      <c r="BR69" t="str">
        <f t="shared" si="41"/>
        <v/>
      </c>
      <c r="BS69" t="str">
        <f t="shared" si="42"/>
        <v/>
      </c>
      <c r="BT69" t="str">
        <f t="shared" si="43"/>
        <v/>
      </c>
      <c r="BU69" t="str">
        <f t="shared" si="44"/>
        <v/>
      </c>
      <c r="BV69" t="str">
        <f t="shared" si="45"/>
        <v/>
      </c>
      <c r="BW69" t="str">
        <f t="shared" si="46"/>
        <v/>
      </c>
      <c r="BX69" t="str">
        <f t="shared" si="47"/>
        <v/>
      </c>
      <c r="BY69" t="str">
        <f t="shared" si="48"/>
        <v/>
      </c>
      <c r="BZ69" t="str">
        <f t="shared" si="49"/>
        <v/>
      </c>
      <c r="CA69" t="str">
        <f t="shared" si="50"/>
        <v/>
      </c>
      <c r="CB69" t="str">
        <f t="shared" si="51"/>
        <v/>
      </c>
      <c r="CC69" t="str">
        <f t="shared" si="52"/>
        <v/>
      </c>
      <c r="CD69" t="str">
        <f t="shared" si="53"/>
        <v/>
      </c>
    </row>
    <row r="70" spans="1:82" ht="33.6" customHeight="1" x14ac:dyDescent="0.3">
      <c r="A70" s="4"/>
      <c r="B70" s="4"/>
      <c r="C70" s="4"/>
      <c r="D70" s="5"/>
      <c r="E70" s="6"/>
      <c r="F70" s="5"/>
      <c r="G70" s="6"/>
      <c r="H70" s="5"/>
      <c r="I70" s="21"/>
      <c r="J70" s="5"/>
      <c r="K70" s="6"/>
      <c r="L70" s="5"/>
      <c r="M70" s="6"/>
      <c r="N70" s="5"/>
      <c r="O70" s="6"/>
      <c r="P70" s="5"/>
      <c r="Q70" s="6"/>
      <c r="R70" s="5"/>
      <c r="S70" s="6"/>
      <c r="T70" s="5"/>
      <c r="U70" s="21"/>
      <c r="V70" s="5"/>
      <c r="W70" s="6"/>
      <c r="X70" s="5"/>
      <c r="Y70" s="6"/>
      <c r="Z70" s="5"/>
      <c r="AA70" s="6"/>
      <c r="AB70" s="5"/>
      <c r="AC70" s="6"/>
      <c r="AD70" s="5"/>
      <c r="AE70" s="6"/>
      <c r="AF70" s="5"/>
      <c r="AG70" s="21"/>
      <c r="AH70" s="5"/>
      <c r="AI70" s="6"/>
      <c r="AJ70" s="5"/>
      <c r="AK70" s="6"/>
      <c r="AL70" s="5"/>
      <c r="AM70" s="21"/>
      <c r="AN70" s="5"/>
      <c r="AO70" s="6"/>
      <c r="AP70" s="5"/>
      <c r="AQ70" s="6"/>
      <c r="AR70" s="5"/>
      <c r="AS70" s="21"/>
      <c r="AT70" s="5"/>
      <c r="AU70" s="6"/>
      <c r="AV70" s="5"/>
      <c r="AW70" s="6"/>
      <c r="AX70" s="5"/>
      <c r="AY70" s="21"/>
      <c r="AZ70" s="6"/>
      <c r="BA70" s="6"/>
      <c r="BB70" s="6"/>
      <c r="BC70" s="7" t="str">
        <f t="shared" si="28"/>
        <v/>
      </c>
      <c r="BD70" s="7" t="str">
        <f t="shared" si="29"/>
        <v/>
      </c>
      <c r="BE70" s="4"/>
      <c r="BF70" s="16"/>
      <c r="BG70" s="16" t="str">
        <f t="shared" si="30"/>
        <v/>
      </c>
      <c r="BH70" s="16" t="str">
        <f t="shared" si="31"/>
        <v/>
      </c>
      <c r="BI70" s="16" t="str">
        <f t="shared" si="32"/>
        <v/>
      </c>
      <c r="BJ70" s="16" t="str">
        <f t="shared" si="33"/>
        <v/>
      </c>
      <c r="BK70" t="str">
        <f t="shared" si="34"/>
        <v/>
      </c>
      <c r="BL70" t="str">
        <f t="shared" si="35"/>
        <v/>
      </c>
      <c r="BM70" t="str">
        <f t="shared" si="36"/>
        <v/>
      </c>
      <c r="BN70" t="str">
        <f t="shared" si="37"/>
        <v/>
      </c>
      <c r="BO70" t="str">
        <f t="shared" si="38"/>
        <v/>
      </c>
      <c r="BP70" t="str">
        <f t="shared" si="39"/>
        <v/>
      </c>
      <c r="BQ70" t="str">
        <f t="shared" si="40"/>
        <v/>
      </c>
      <c r="BR70" t="str">
        <f t="shared" si="41"/>
        <v/>
      </c>
      <c r="BS70" t="str">
        <f t="shared" si="42"/>
        <v/>
      </c>
      <c r="BT70" t="str">
        <f t="shared" si="43"/>
        <v/>
      </c>
      <c r="BU70" t="str">
        <f t="shared" si="44"/>
        <v/>
      </c>
      <c r="BV70" t="str">
        <f t="shared" si="45"/>
        <v/>
      </c>
      <c r="BW70" t="str">
        <f t="shared" si="46"/>
        <v/>
      </c>
      <c r="BX70" t="str">
        <f t="shared" si="47"/>
        <v/>
      </c>
      <c r="BY70" t="str">
        <f t="shared" si="48"/>
        <v/>
      </c>
      <c r="BZ70" t="str">
        <f t="shared" si="49"/>
        <v/>
      </c>
      <c r="CA70" t="str">
        <f t="shared" si="50"/>
        <v/>
      </c>
      <c r="CB70" t="str">
        <f t="shared" si="51"/>
        <v/>
      </c>
      <c r="CC70" t="str">
        <f t="shared" si="52"/>
        <v/>
      </c>
      <c r="CD70" t="str">
        <f t="shared" si="53"/>
        <v/>
      </c>
    </row>
    <row r="71" spans="1:82" ht="33.6" customHeight="1" x14ac:dyDescent="0.3">
      <c r="A71" s="4"/>
      <c r="B71" s="4"/>
      <c r="C71" s="4"/>
      <c r="D71" s="5"/>
      <c r="E71" s="6"/>
      <c r="F71" s="5"/>
      <c r="G71" s="6"/>
      <c r="H71" s="5"/>
      <c r="I71" s="21"/>
      <c r="J71" s="5"/>
      <c r="K71" s="6"/>
      <c r="L71" s="5"/>
      <c r="M71" s="6"/>
      <c r="N71" s="5"/>
      <c r="O71" s="6"/>
      <c r="P71" s="5"/>
      <c r="Q71" s="6"/>
      <c r="R71" s="5"/>
      <c r="S71" s="6"/>
      <c r="T71" s="5"/>
      <c r="U71" s="21"/>
      <c r="V71" s="5"/>
      <c r="W71" s="6"/>
      <c r="X71" s="5"/>
      <c r="Y71" s="6"/>
      <c r="Z71" s="5"/>
      <c r="AA71" s="6"/>
      <c r="AB71" s="5"/>
      <c r="AC71" s="6"/>
      <c r="AD71" s="5"/>
      <c r="AE71" s="6"/>
      <c r="AF71" s="5"/>
      <c r="AG71" s="21"/>
      <c r="AH71" s="5"/>
      <c r="AI71" s="6"/>
      <c r="AJ71" s="5"/>
      <c r="AK71" s="6"/>
      <c r="AL71" s="5"/>
      <c r="AM71" s="21"/>
      <c r="AN71" s="5"/>
      <c r="AO71" s="6"/>
      <c r="AP71" s="5"/>
      <c r="AQ71" s="6"/>
      <c r="AR71" s="5"/>
      <c r="AS71" s="21"/>
      <c r="AT71" s="5"/>
      <c r="AU71" s="6"/>
      <c r="AV71" s="5"/>
      <c r="AW71" s="6"/>
      <c r="AX71" s="5"/>
      <c r="AY71" s="21"/>
      <c r="AZ71" s="6"/>
      <c r="BA71" s="6"/>
      <c r="BB71" s="6"/>
      <c r="BC71" s="7" t="str">
        <f t="shared" si="28"/>
        <v/>
      </c>
      <c r="BD71" s="7" t="str">
        <f t="shared" si="29"/>
        <v/>
      </c>
      <c r="BE71" s="4"/>
      <c r="BF71" s="16"/>
      <c r="BG71" s="16" t="str">
        <f t="shared" si="30"/>
        <v/>
      </c>
      <c r="BH71" s="16" t="str">
        <f t="shared" si="31"/>
        <v/>
      </c>
      <c r="BI71" s="16" t="str">
        <f t="shared" si="32"/>
        <v/>
      </c>
      <c r="BJ71" s="16" t="str">
        <f t="shared" si="33"/>
        <v/>
      </c>
      <c r="BK71" t="str">
        <f t="shared" si="34"/>
        <v/>
      </c>
      <c r="BL71" t="str">
        <f t="shared" si="35"/>
        <v/>
      </c>
      <c r="BM71" t="str">
        <f t="shared" si="36"/>
        <v/>
      </c>
      <c r="BN71" t="str">
        <f t="shared" si="37"/>
        <v/>
      </c>
      <c r="BO71" t="str">
        <f t="shared" si="38"/>
        <v/>
      </c>
      <c r="BP71" t="str">
        <f t="shared" si="39"/>
        <v/>
      </c>
      <c r="BQ71" t="str">
        <f t="shared" si="40"/>
        <v/>
      </c>
      <c r="BR71" t="str">
        <f t="shared" si="41"/>
        <v/>
      </c>
      <c r="BS71" t="str">
        <f t="shared" si="42"/>
        <v/>
      </c>
      <c r="BT71" t="str">
        <f t="shared" si="43"/>
        <v/>
      </c>
      <c r="BU71" t="str">
        <f t="shared" si="44"/>
        <v/>
      </c>
      <c r="BV71" t="str">
        <f t="shared" si="45"/>
        <v/>
      </c>
      <c r="BW71" t="str">
        <f t="shared" si="46"/>
        <v/>
      </c>
      <c r="BX71" t="str">
        <f t="shared" si="47"/>
        <v/>
      </c>
      <c r="BY71" t="str">
        <f t="shared" si="48"/>
        <v/>
      </c>
      <c r="BZ71" t="str">
        <f t="shared" si="49"/>
        <v/>
      </c>
      <c r="CA71" t="str">
        <f t="shared" si="50"/>
        <v/>
      </c>
      <c r="CB71" t="str">
        <f t="shared" si="51"/>
        <v/>
      </c>
      <c r="CC71" t="str">
        <f t="shared" si="52"/>
        <v/>
      </c>
      <c r="CD71" t="str">
        <f t="shared" si="53"/>
        <v/>
      </c>
    </row>
    <row r="72" spans="1:82" ht="33.6" customHeight="1" x14ac:dyDescent="0.3">
      <c r="A72" s="4"/>
      <c r="B72" s="4"/>
      <c r="C72" s="4"/>
      <c r="D72" s="5"/>
      <c r="E72" s="6"/>
      <c r="F72" s="5"/>
      <c r="G72" s="6"/>
      <c r="H72" s="5"/>
      <c r="I72" s="21"/>
      <c r="J72" s="5"/>
      <c r="K72" s="6"/>
      <c r="L72" s="5"/>
      <c r="M72" s="6"/>
      <c r="N72" s="5"/>
      <c r="O72" s="6"/>
      <c r="P72" s="5"/>
      <c r="Q72" s="6"/>
      <c r="R72" s="5"/>
      <c r="S72" s="6"/>
      <c r="T72" s="5"/>
      <c r="U72" s="21"/>
      <c r="V72" s="5"/>
      <c r="W72" s="6"/>
      <c r="X72" s="5"/>
      <c r="Y72" s="6"/>
      <c r="Z72" s="5"/>
      <c r="AA72" s="6"/>
      <c r="AB72" s="5"/>
      <c r="AC72" s="6"/>
      <c r="AD72" s="5"/>
      <c r="AE72" s="6"/>
      <c r="AF72" s="5"/>
      <c r="AG72" s="21"/>
      <c r="AH72" s="5"/>
      <c r="AI72" s="6"/>
      <c r="AJ72" s="5"/>
      <c r="AK72" s="6"/>
      <c r="AL72" s="5"/>
      <c r="AM72" s="21"/>
      <c r="AN72" s="5"/>
      <c r="AO72" s="6"/>
      <c r="AP72" s="5"/>
      <c r="AQ72" s="6"/>
      <c r="AR72" s="5"/>
      <c r="AS72" s="21"/>
      <c r="AT72" s="5"/>
      <c r="AU72" s="6"/>
      <c r="AV72" s="5"/>
      <c r="AW72" s="6"/>
      <c r="AX72" s="5"/>
      <c r="AY72" s="21"/>
      <c r="AZ72" s="6"/>
      <c r="BA72" s="6"/>
      <c r="BB72" s="6"/>
      <c r="BC72" s="7" t="str">
        <f t="shared" si="28"/>
        <v/>
      </c>
      <c r="BD72" s="7" t="str">
        <f t="shared" si="29"/>
        <v/>
      </c>
      <c r="BE72" s="4"/>
      <c r="BF72" s="16"/>
      <c r="BG72" s="16" t="str">
        <f t="shared" si="30"/>
        <v/>
      </c>
      <c r="BH72" s="16" t="str">
        <f t="shared" si="31"/>
        <v/>
      </c>
      <c r="BI72" s="16" t="str">
        <f t="shared" si="32"/>
        <v/>
      </c>
      <c r="BJ72" s="16" t="str">
        <f t="shared" si="33"/>
        <v/>
      </c>
      <c r="BK72" t="str">
        <f t="shared" si="34"/>
        <v/>
      </c>
      <c r="BL72" t="str">
        <f t="shared" si="35"/>
        <v/>
      </c>
      <c r="BM72" t="str">
        <f t="shared" si="36"/>
        <v/>
      </c>
      <c r="BN72" t="str">
        <f t="shared" si="37"/>
        <v/>
      </c>
      <c r="BO72" t="str">
        <f t="shared" si="38"/>
        <v/>
      </c>
      <c r="BP72" t="str">
        <f t="shared" si="39"/>
        <v/>
      </c>
      <c r="BQ72" t="str">
        <f t="shared" si="40"/>
        <v/>
      </c>
      <c r="BR72" t="str">
        <f t="shared" si="41"/>
        <v/>
      </c>
      <c r="BS72" t="str">
        <f t="shared" si="42"/>
        <v/>
      </c>
      <c r="BT72" t="str">
        <f t="shared" si="43"/>
        <v/>
      </c>
      <c r="BU72" t="str">
        <f t="shared" si="44"/>
        <v/>
      </c>
      <c r="BV72" t="str">
        <f t="shared" si="45"/>
        <v/>
      </c>
      <c r="BW72" t="str">
        <f t="shared" si="46"/>
        <v/>
      </c>
      <c r="BX72" t="str">
        <f t="shared" si="47"/>
        <v/>
      </c>
      <c r="BY72" t="str">
        <f t="shared" si="48"/>
        <v/>
      </c>
      <c r="BZ72" t="str">
        <f t="shared" si="49"/>
        <v/>
      </c>
      <c r="CA72" t="str">
        <f t="shared" si="50"/>
        <v/>
      </c>
      <c r="CB72" t="str">
        <f t="shared" si="51"/>
        <v/>
      </c>
      <c r="CC72" t="str">
        <f t="shared" si="52"/>
        <v/>
      </c>
      <c r="CD72" t="str">
        <f t="shared" si="53"/>
        <v/>
      </c>
    </row>
    <row r="73" spans="1:82" ht="33.6" customHeight="1" x14ac:dyDescent="0.3">
      <c r="A73" s="4"/>
      <c r="B73" s="4"/>
      <c r="C73" s="4"/>
      <c r="D73" s="5"/>
      <c r="E73" s="6"/>
      <c r="F73" s="5"/>
      <c r="G73" s="6"/>
      <c r="H73" s="5"/>
      <c r="I73" s="21"/>
      <c r="J73" s="5"/>
      <c r="K73" s="6"/>
      <c r="L73" s="5"/>
      <c r="M73" s="6"/>
      <c r="N73" s="5"/>
      <c r="O73" s="6"/>
      <c r="P73" s="5"/>
      <c r="Q73" s="6"/>
      <c r="R73" s="5"/>
      <c r="S73" s="6"/>
      <c r="T73" s="5"/>
      <c r="U73" s="21"/>
      <c r="V73" s="5"/>
      <c r="W73" s="6"/>
      <c r="X73" s="5"/>
      <c r="Y73" s="6"/>
      <c r="Z73" s="5"/>
      <c r="AA73" s="6"/>
      <c r="AB73" s="5"/>
      <c r="AC73" s="6"/>
      <c r="AD73" s="5"/>
      <c r="AE73" s="6"/>
      <c r="AF73" s="5"/>
      <c r="AG73" s="21"/>
      <c r="AH73" s="5"/>
      <c r="AI73" s="6"/>
      <c r="AJ73" s="5"/>
      <c r="AK73" s="6"/>
      <c r="AL73" s="5"/>
      <c r="AM73" s="21"/>
      <c r="AN73" s="5"/>
      <c r="AO73" s="6"/>
      <c r="AP73" s="5"/>
      <c r="AQ73" s="6"/>
      <c r="AR73" s="5"/>
      <c r="AS73" s="21"/>
      <c r="AT73" s="5"/>
      <c r="AU73" s="6"/>
      <c r="AV73" s="5"/>
      <c r="AW73" s="6"/>
      <c r="AX73" s="5"/>
      <c r="AY73" s="21"/>
      <c r="AZ73" s="6"/>
      <c r="BA73" s="6"/>
      <c r="BB73" s="6"/>
      <c r="BC73" s="7" t="str">
        <f t="shared" si="28"/>
        <v/>
      </c>
      <c r="BD73" s="7" t="str">
        <f t="shared" si="29"/>
        <v/>
      </c>
      <c r="BE73" s="4"/>
      <c r="BF73" s="16"/>
      <c r="BG73" s="16" t="str">
        <f t="shared" si="30"/>
        <v/>
      </c>
      <c r="BH73" s="16" t="str">
        <f t="shared" si="31"/>
        <v/>
      </c>
      <c r="BI73" s="16" t="str">
        <f t="shared" si="32"/>
        <v/>
      </c>
      <c r="BJ73" s="16" t="str">
        <f t="shared" si="33"/>
        <v/>
      </c>
      <c r="BK73" t="str">
        <f t="shared" si="34"/>
        <v/>
      </c>
      <c r="BL73" t="str">
        <f t="shared" si="35"/>
        <v/>
      </c>
      <c r="BM73" t="str">
        <f t="shared" si="36"/>
        <v/>
      </c>
      <c r="BN73" t="str">
        <f t="shared" si="37"/>
        <v/>
      </c>
      <c r="BO73" t="str">
        <f t="shared" si="38"/>
        <v/>
      </c>
      <c r="BP73" t="str">
        <f t="shared" si="39"/>
        <v/>
      </c>
      <c r="BQ73" t="str">
        <f t="shared" si="40"/>
        <v/>
      </c>
      <c r="BR73" t="str">
        <f t="shared" si="41"/>
        <v/>
      </c>
      <c r="BS73" t="str">
        <f t="shared" si="42"/>
        <v/>
      </c>
      <c r="BT73" t="str">
        <f t="shared" si="43"/>
        <v/>
      </c>
      <c r="BU73" t="str">
        <f t="shared" si="44"/>
        <v/>
      </c>
      <c r="BV73" t="str">
        <f t="shared" si="45"/>
        <v/>
      </c>
      <c r="BW73" t="str">
        <f t="shared" si="46"/>
        <v/>
      </c>
      <c r="BX73" t="str">
        <f t="shared" si="47"/>
        <v/>
      </c>
      <c r="BY73" t="str">
        <f t="shared" si="48"/>
        <v/>
      </c>
      <c r="BZ73" t="str">
        <f t="shared" si="49"/>
        <v/>
      </c>
      <c r="CA73" t="str">
        <f t="shared" si="50"/>
        <v/>
      </c>
      <c r="CB73" t="str">
        <f t="shared" si="51"/>
        <v/>
      </c>
      <c r="CC73" t="str">
        <f t="shared" si="52"/>
        <v/>
      </c>
      <c r="CD73" t="str">
        <f t="shared" si="53"/>
        <v/>
      </c>
    </row>
    <row r="74" spans="1:82" ht="33.6" customHeight="1" x14ac:dyDescent="0.3">
      <c r="A74" s="4"/>
      <c r="B74" s="4"/>
      <c r="C74" s="4"/>
      <c r="D74" s="5"/>
      <c r="E74" s="6"/>
      <c r="F74" s="5"/>
      <c r="G74" s="6"/>
      <c r="H74" s="5"/>
      <c r="I74" s="21"/>
      <c r="J74" s="5"/>
      <c r="K74" s="6"/>
      <c r="L74" s="5"/>
      <c r="M74" s="6"/>
      <c r="N74" s="5"/>
      <c r="O74" s="6"/>
      <c r="P74" s="5"/>
      <c r="Q74" s="6"/>
      <c r="R74" s="5"/>
      <c r="S74" s="6"/>
      <c r="T74" s="5"/>
      <c r="U74" s="21"/>
      <c r="V74" s="5"/>
      <c r="W74" s="6"/>
      <c r="X74" s="5"/>
      <c r="Y74" s="6"/>
      <c r="Z74" s="5"/>
      <c r="AA74" s="6"/>
      <c r="AB74" s="5"/>
      <c r="AC74" s="6"/>
      <c r="AD74" s="5"/>
      <c r="AE74" s="6"/>
      <c r="AF74" s="5"/>
      <c r="AG74" s="21"/>
      <c r="AH74" s="5"/>
      <c r="AI74" s="6"/>
      <c r="AJ74" s="5"/>
      <c r="AK74" s="6"/>
      <c r="AL74" s="5"/>
      <c r="AM74" s="21"/>
      <c r="AN74" s="5"/>
      <c r="AO74" s="6"/>
      <c r="AP74" s="5"/>
      <c r="AQ74" s="6"/>
      <c r="AR74" s="5"/>
      <c r="AS74" s="21"/>
      <c r="AT74" s="5"/>
      <c r="AU74" s="6"/>
      <c r="AV74" s="5"/>
      <c r="AW74" s="6"/>
      <c r="AX74" s="5"/>
      <c r="AY74" s="21"/>
      <c r="AZ74" s="6"/>
      <c r="BA74" s="6"/>
      <c r="BB74" s="6"/>
      <c r="BC74" s="7" t="str">
        <f t="shared" si="28"/>
        <v/>
      </c>
      <c r="BD74" s="7" t="str">
        <f t="shared" si="29"/>
        <v/>
      </c>
      <c r="BE74" s="4"/>
      <c r="BF74" s="16"/>
      <c r="BG74" s="16" t="str">
        <f t="shared" si="30"/>
        <v/>
      </c>
      <c r="BH74" s="16" t="str">
        <f t="shared" si="31"/>
        <v/>
      </c>
      <c r="BI74" s="16" t="str">
        <f t="shared" si="32"/>
        <v/>
      </c>
      <c r="BJ74" s="16" t="str">
        <f t="shared" si="33"/>
        <v/>
      </c>
      <c r="BK74" t="str">
        <f t="shared" si="34"/>
        <v/>
      </c>
      <c r="BL74" t="str">
        <f t="shared" si="35"/>
        <v/>
      </c>
      <c r="BM74" t="str">
        <f t="shared" si="36"/>
        <v/>
      </c>
      <c r="BN74" t="str">
        <f t="shared" si="37"/>
        <v/>
      </c>
      <c r="BO74" t="str">
        <f t="shared" si="38"/>
        <v/>
      </c>
      <c r="BP74" t="str">
        <f t="shared" si="39"/>
        <v/>
      </c>
      <c r="BQ74" t="str">
        <f t="shared" si="40"/>
        <v/>
      </c>
      <c r="BR74" t="str">
        <f t="shared" si="41"/>
        <v/>
      </c>
      <c r="BS74" t="str">
        <f t="shared" si="42"/>
        <v/>
      </c>
      <c r="BT74" t="str">
        <f t="shared" si="43"/>
        <v/>
      </c>
      <c r="BU74" t="str">
        <f t="shared" si="44"/>
        <v/>
      </c>
      <c r="BV74" t="str">
        <f t="shared" si="45"/>
        <v/>
      </c>
      <c r="BW74" t="str">
        <f t="shared" si="46"/>
        <v/>
      </c>
      <c r="BX74" t="str">
        <f t="shared" si="47"/>
        <v/>
      </c>
      <c r="BY74" t="str">
        <f t="shared" si="48"/>
        <v/>
      </c>
      <c r="BZ74" t="str">
        <f t="shared" si="49"/>
        <v/>
      </c>
      <c r="CA74" t="str">
        <f t="shared" si="50"/>
        <v/>
      </c>
      <c r="CB74" t="str">
        <f t="shared" si="51"/>
        <v/>
      </c>
      <c r="CC74" t="str">
        <f t="shared" si="52"/>
        <v/>
      </c>
      <c r="CD74" t="str">
        <f t="shared" si="53"/>
        <v/>
      </c>
    </row>
    <row r="75" spans="1:82" ht="33.6" customHeight="1" x14ac:dyDescent="0.3">
      <c r="A75" s="4"/>
      <c r="B75" s="4"/>
      <c r="C75" s="4"/>
      <c r="D75" s="5"/>
      <c r="E75" s="6"/>
      <c r="F75" s="5"/>
      <c r="G75" s="6"/>
      <c r="H75" s="5"/>
      <c r="I75" s="21"/>
      <c r="J75" s="5"/>
      <c r="K75" s="6"/>
      <c r="L75" s="5"/>
      <c r="M75" s="6"/>
      <c r="N75" s="5"/>
      <c r="O75" s="6"/>
      <c r="P75" s="5"/>
      <c r="Q75" s="6"/>
      <c r="R75" s="5"/>
      <c r="S75" s="6"/>
      <c r="T75" s="5"/>
      <c r="U75" s="21"/>
      <c r="V75" s="5"/>
      <c r="W75" s="6"/>
      <c r="X75" s="5"/>
      <c r="Y75" s="6"/>
      <c r="Z75" s="5"/>
      <c r="AA75" s="6"/>
      <c r="AB75" s="5"/>
      <c r="AC75" s="6"/>
      <c r="AD75" s="5"/>
      <c r="AE75" s="6"/>
      <c r="AF75" s="5"/>
      <c r="AG75" s="21"/>
      <c r="AH75" s="5"/>
      <c r="AI75" s="6"/>
      <c r="AJ75" s="5"/>
      <c r="AK75" s="6"/>
      <c r="AL75" s="5"/>
      <c r="AM75" s="21"/>
      <c r="AN75" s="5"/>
      <c r="AO75" s="6"/>
      <c r="AP75" s="5"/>
      <c r="AQ75" s="6"/>
      <c r="AR75" s="5"/>
      <c r="AS75" s="21"/>
      <c r="AT75" s="5"/>
      <c r="AU75" s="6"/>
      <c r="AV75" s="5"/>
      <c r="AW75" s="6"/>
      <c r="AX75" s="5"/>
      <c r="AY75" s="21"/>
      <c r="AZ75" s="6"/>
      <c r="BA75" s="6"/>
      <c r="BB75" s="6"/>
      <c r="BC75" s="7" t="str">
        <f t="shared" si="28"/>
        <v/>
      </c>
      <c r="BD75" s="7" t="str">
        <f t="shared" si="29"/>
        <v/>
      </c>
      <c r="BE75" s="4"/>
      <c r="BF75" s="16"/>
      <c r="BG75" s="16" t="str">
        <f t="shared" si="30"/>
        <v/>
      </c>
      <c r="BH75" s="16" t="str">
        <f t="shared" si="31"/>
        <v/>
      </c>
      <c r="BI75" s="16" t="str">
        <f t="shared" si="32"/>
        <v/>
      </c>
      <c r="BJ75" s="16" t="str">
        <f t="shared" si="33"/>
        <v/>
      </c>
      <c r="BK75" t="str">
        <f t="shared" si="34"/>
        <v/>
      </c>
      <c r="BL75" t="str">
        <f t="shared" si="35"/>
        <v/>
      </c>
      <c r="BM75" t="str">
        <f t="shared" si="36"/>
        <v/>
      </c>
      <c r="BN75" t="str">
        <f t="shared" si="37"/>
        <v/>
      </c>
      <c r="BO75" t="str">
        <f t="shared" si="38"/>
        <v/>
      </c>
      <c r="BP75" t="str">
        <f t="shared" si="39"/>
        <v/>
      </c>
      <c r="BQ75" t="str">
        <f t="shared" si="40"/>
        <v/>
      </c>
      <c r="BR75" t="str">
        <f t="shared" si="41"/>
        <v/>
      </c>
      <c r="BS75" t="str">
        <f t="shared" si="42"/>
        <v/>
      </c>
      <c r="BT75" t="str">
        <f t="shared" si="43"/>
        <v/>
      </c>
      <c r="BU75" t="str">
        <f t="shared" si="44"/>
        <v/>
      </c>
      <c r="BV75" t="str">
        <f t="shared" si="45"/>
        <v/>
      </c>
      <c r="BW75" t="str">
        <f t="shared" si="46"/>
        <v/>
      </c>
      <c r="BX75" t="str">
        <f t="shared" si="47"/>
        <v/>
      </c>
      <c r="BY75" t="str">
        <f t="shared" si="48"/>
        <v/>
      </c>
      <c r="BZ75" t="str">
        <f t="shared" si="49"/>
        <v/>
      </c>
      <c r="CA75" t="str">
        <f t="shared" si="50"/>
        <v/>
      </c>
      <c r="CB75" t="str">
        <f t="shared" si="51"/>
        <v/>
      </c>
      <c r="CC75" t="str">
        <f t="shared" si="52"/>
        <v/>
      </c>
      <c r="CD75" t="str">
        <f t="shared" si="53"/>
        <v/>
      </c>
    </row>
    <row r="76" spans="1:82" ht="33.6" customHeight="1" x14ac:dyDescent="0.3">
      <c r="A76" s="4"/>
      <c r="B76" s="4"/>
      <c r="C76" s="4"/>
      <c r="D76" s="5"/>
      <c r="E76" s="6"/>
      <c r="F76" s="5"/>
      <c r="G76" s="6"/>
      <c r="H76" s="5"/>
      <c r="I76" s="21"/>
      <c r="J76" s="5"/>
      <c r="K76" s="6"/>
      <c r="L76" s="5"/>
      <c r="M76" s="6"/>
      <c r="N76" s="5"/>
      <c r="O76" s="6"/>
      <c r="P76" s="5"/>
      <c r="Q76" s="6"/>
      <c r="R76" s="5"/>
      <c r="S76" s="6"/>
      <c r="T76" s="5"/>
      <c r="U76" s="21"/>
      <c r="V76" s="5"/>
      <c r="W76" s="6"/>
      <c r="X76" s="5"/>
      <c r="Y76" s="6"/>
      <c r="Z76" s="5"/>
      <c r="AA76" s="6"/>
      <c r="AB76" s="5"/>
      <c r="AC76" s="6"/>
      <c r="AD76" s="5"/>
      <c r="AE76" s="6"/>
      <c r="AF76" s="5"/>
      <c r="AG76" s="21"/>
      <c r="AH76" s="5"/>
      <c r="AI76" s="6"/>
      <c r="AJ76" s="5"/>
      <c r="AK76" s="6"/>
      <c r="AL76" s="5"/>
      <c r="AM76" s="21"/>
      <c r="AN76" s="5"/>
      <c r="AO76" s="6"/>
      <c r="AP76" s="5"/>
      <c r="AQ76" s="6"/>
      <c r="AR76" s="5"/>
      <c r="AS76" s="21"/>
      <c r="AT76" s="5"/>
      <c r="AU76" s="6"/>
      <c r="AV76" s="5"/>
      <c r="AW76" s="6"/>
      <c r="AX76" s="5"/>
      <c r="AY76" s="21"/>
      <c r="AZ76" s="6"/>
      <c r="BA76" s="6"/>
      <c r="BB76" s="6"/>
      <c r="BC76" s="7" t="str">
        <f t="shared" si="28"/>
        <v/>
      </c>
      <c r="BD76" s="7" t="str">
        <f t="shared" si="29"/>
        <v/>
      </c>
      <c r="BE76" s="4"/>
      <c r="BF76" s="16"/>
      <c r="BG76" s="16" t="str">
        <f t="shared" si="30"/>
        <v/>
      </c>
      <c r="BH76" s="16" t="str">
        <f t="shared" si="31"/>
        <v/>
      </c>
      <c r="BI76" s="16" t="str">
        <f t="shared" si="32"/>
        <v/>
      </c>
      <c r="BJ76" s="16" t="str">
        <f t="shared" si="33"/>
        <v/>
      </c>
      <c r="BK76" t="str">
        <f t="shared" si="34"/>
        <v/>
      </c>
      <c r="BL76" t="str">
        <f t="shared" si="35"/>
        <v/>
      </c>
      <c r="BM76" t="str">
        <f t="shared" si="36"/>
        <v/>
      </c>
      <c r="BN76" t="str">
        <f t="shared" si="37"/>
        <v/>
      </c>
      <c r="BO76" t="str">
        <f t="shared" si="38"/>
        <v/>
      </c>
      <c r="BP76" t="str">
        <f t="shared" si="39"/>
        <v/>
      </c>
      <c r="BQ76" t="str">
        <f t="shared" si="40"/>
        <v/>
      </c>
      <c r="BR76" t="str">
        <f t="shared" si="41"/>
        <v/>
      </c>
      <c r="BS76" t="str">
        <f t="shared" si="42"/>
        <v/>
      </c>
      <c r="BT76" t="str">
        <f t="shared" si="43"/>
        <v/>
      </c>
      <c r="BU76" t="str">
        <f t="shared" si="44"/>
        <v/>
      </c>
      <c r="BV76" t="str">
        <f t="shared" si="45"/>
        <v/>
      </c>
      <c r="BW76" t="str">
        <f t="shared" si="46"/>
        <v/>
      </c>
      <c r="BX76" t="str">
        <f t="shared" si="47"/>
        <v/>
      </c>
      <c r="BY76" t="str">
        <f t="shared" si="48"/>
        <v/>
      </c>
      <c r="BZ76" t="str">
        <f t="shared" si="49"/>
        <v/>
      </c>
      <c r="CA76" t="str">
        <f t="shared" si="50"/>
        <v/>
      </c>
      <c r="CB76" t="str">
        <f t="shared" si="51"/>
        <v/>
      </c>
      <c r="CC76" t="str">
        <f t="shared" si="52"/>
        <v/>
      </c>
      <c r="CD76" t="str">
        <f t="shared" si="53"/>
        <v/>
      </c>
    </row>
    <row r="77" spans="1:82" ht="33.6" customHeight="1" x14ac:dyDescent="0.3">
      <c r="A77" s="4"/>
      <c r="B77" s="4"/>
      <c r="C77" s="4"/>
      <c r="D77" s="5"/>
      <c r="E77" s="6"/>
      <c r="F77" s="5"/>
      <c r="G77" s="6"/>
      <c r="H77" s="5"/>
      <c r="I77" s="21"/>
      <c r="J77" s="5"/>
      <c r="K77" s="6"/>
      <c r="L77" s="5"/>
      <c r="M77" s="6"/>
      <c r="N77" s="5"/>
      <c r="O77" s="6"/>
      <c r="P77" s="5"/>
      <c r="Q77" s="6"/>
      <c r="R77" s="5"/>
      <c r="S77" s="6"/>
      <c r="T77" s="5"/>
      <c r="U77" s="21"/>
      <c r="V77" s="5"/>
      <c r="W77" s="6"/>
      <c r="X77" s="5"/>
      <c r="Y77" s="6"/>
      <c r="Z77" s="5"/>
      <c r="AA77" s="6"/>
      <c r="AB77" s="5"/>
      <c r="AC77" s="6"/>
      <c r="AD77" s="5"/>
      <c r="AE77" s="6"/>
      <c r="AF77" s="5"/>
      <c r="AG77" s="21"/>
      <c r="AH77" s="5"/>
      <c r="AI77" s="6"/>
      <c r="AJ77" s="5"/>
      <c r="AK77" s="6"/>
      <c r="AL77" s="5"/>
      <c r="AM77" s="21"/>
      <c r="AN77" s="5"/>
      <c r="AO77" s="6"/>
      <c r="AP77" s="5"/>
      <c r="AQ77" s="6"/>
      <c r="AR77" s="5"/>
      <c r="AS77" s="21"/>
      <c r="AT77" s="5"/>
      <c r="AU77" s="6"/>
      <c r="AV77" s="5"/>
      <c r="AW77" s="6"/>
      <c r="AX77" s="5"/>
      <c r="AY77" s="21"/>
      <c r="AZ77" s="6"/>
      <c r="BA77" s="6"/>
      <c r="BB77" s="6"/>
      <c r="BC77" s="7" t="str">
        <f t="shared" si="28"/>
        <v/>
      </c>
      <c r="BD77" s="7" t="str">
        <f t="shared" si="29"/>
        <v/>
      </c>
      <c r="BE77" s="4"/>
      <c r="BF77" s="16"/>
      <c r="BG77" s="16" t="str">
        <f t="shared" si="30"/>
        <v/>
      </c>
      <c r="BH77" s="16" t="str">
        <f t="shared" si="31"/>
        <v/>
      </c>
      <c r="BI77" s="16" t="str">
        <f t="shared" si="32"/>
        <v/>
      </c>
      <c r="BJ77" s="16" t="str">
        <f t="shared" si="33"/>
        <v/>
      </c>
      <c r="BK77" t="str">
        <f t="shared" si="34"/>
        <v/>
      </c>
      <c r="BL77" t="str">
        <f t="shared" si="35"/>
        <v/>
      </c>
      <c r="BM77" t="str">
        <f t="shared" si="36"/>
        <v/>
      </c>
      <c r="BN77" t="str">
        <f t="shared" si="37"/>
        <v/>
      </c>
      <c r="BO77" t="str">
        <f t="shared" si="38"/>
        <v/>
      </c>
      <c r="BP77" t="str">
        <f t="shared" si="39"/>
        <v/>
      </c>
      <c r="BQ77" t="str">
        <f t="shared" si="40"/>
        <v/>
      </c>
      <c r="BR77" t="str">
        <f t="shared" si="41"/>
        <v/>
      </c>
      <c r="BS77" t="str">
        <f t="shared" si="42"/>
        <v/>
      </c>
      <c r="BT77" t="str">
        <f t="shared" si="43"/>
        <v/>
      </c>
      <c r="BU77" t="str">
        <f t="shared" si="44"/>
        <v/>
      </c>
      <c r="BV77" t="str">
        <f t="shared" si="45"/>
        <v/>
      </c>
      <c r="BW77" t="str">
        <f t="shared" si="46"/>
        <v/>
      </c>
      <c r="BX77" t="str">
        <f t="shared" si="47"/>
        <v/>
      </c>
      <c r="BY77" t="str">
        <f t="shared" si="48"/>
        <v/>
      </c>
      <c r="BZ77" t="str">
        <f t="shared" si="49"/>
        <v/>
      </c>
      <c r="CA77" t="str">
        <f t="shared" si="50"/>
        <v/>
      </c>
      <c r="CB77" t="str">
        <f t="shared" si="51"/>
        <v/>
      </c>
      <c r="CC77" t="str">
        <f t="shared" si="52"/>
        <v/>
      </c>
      <c r="CD77" t="str">
        <f t="shared" si="53"/>
        <v/>
      </c>
    </row>
    <row r="78" spans="1:82" ht="33.6" customHeight="1" x14ac:dyDescent="0.3">
      <c r="A78" s="4"/>
      <c r="B78" s="4"/>
      <c r="C78" s="4"/>
      <c r="D78" s="5"/>
      <c r="E78" s="6"/>
      <c r="F78" s="5"/>
      <c r="G78" s="6"/>
      <c r="H78" s="5"/>
      <c r="I78" s="21"/>
      <c r="J78" s="5"/>
      <c r="K78" s="6"/>
      <c r="L78" s="5"/>
      <c r="M78" s="6"/>
      <c r="N78" s="5"/>
      <c r="O78" s="6"/>
      <c r="P78" s="5"/>
      <c r="Q78" s="6"/>
      <c r="R78" s="5"/>
      <c r="S78" s="6"/>
      <c r="T78" s="5"/>
      <c r="U78" s="21"/>
      <c r="V78" s="5"/>
      <c r="W78" s="6"/>
      <c r="X78" s="5"/>
      <c r="Y78" s="6"/>
      <c r="Z78" s="5"/>
      <c r="AA78" s="6"/>
      <c r="AB78" s="5"/>
      <c r="AC78" s="6"/>
      <c r="AD78" s="5"/>
      <c r="AE78" s="6"/>
      <c r="AF78" s="5"/>
      <c r="AG78" s="21"/>
      <c r="AH78" s="5"/>
      <c r="AI78" s="6"/>
      <c r="AJ78" s="5"/>
      <c r="AK78" s="6"/>
      <c r="AL78" s="5"/>
      <c r="AM78" s="21"/>
      <c r="AN78" s="5"/>
      <c r="AO78" s="6"/>
      <c r="AP78" s="5"/>
      <c r="AQ78" s="6"/>
      <c r="AR78" s="5"/>
      <c r="AS78" s="21"/>
      <c r="AT78" s="5"/>
      <c r="AU78" s="6"/>
      <c r="AV78" s="5"/>
      <c r="AW78" s="6"/>
      <c r="AX78" s="5"/>
      <c r="AY78" s="21"/>
      <c r="AZ78" s="6"/>
      <c r="BA78" s="6"/>
      <c r="BB78" s="6"/>
      <c r="BC78" s="7" t="str">
        <f t="shared" si="28"/>
        <v/>
      </c>
      <c r="BD78" s="7" t="str">
        <f t="shared" si="29"/>
        <v/>
      </c>
      <c r="BE78" s="4"/>
      <c r="BF78" s="16"/>
      <c r="BG78" s="16" t="str">
        <f t="shared" si="30"/>
        <v/>
      </c>
      <c r="BH78" s="16" t="str">
        <f t="shared" si="31"/>
        <v/>
      </c>
      <c r="BI78" s="16" t="str">
        <f t="shared" si="32"/>
        <v/>
      </c>
      <c r="BJ78" s="16" t="str">
        <f t="shared" si="33"/>
        <v/>
      </c>
      <c r="BK78" t="str">
        <f t="shared" si="34"/>
        <v/>
      </c>
      <c r="BL78" t="str">
        <f t="shared" si="35"/>
        <v/>
      </c>
      <c r="BM78" t="str">
        <f t="shared" si="36"/>
        <v/>
      </c>
      <c r="BN78" t="str">
        <f t="shared" si="37"/>
        <v/>
      </c>
      <c r="BO78" t="str">
        <f t="shared" si="38"/>
        <v/>
      </c>
      <c r="BP78" t="str">
        <f t="shared" si="39"/>
        <v/>
      </c>
      <c r="BQ78" t="str">
        <f t="shared" si="40"/>
        <v/>
      </c>
      <c r="BR78" t="str">
        <f t="shared" si="41"/>
        <v/>
      </c>
      <c r="BS78" t="str">
        <f t="shared" si="42"/>
        <v/>
      </c>
      <c r="BT78" t="str">
        <f t="shared" si="43"/>
        <v/>
      </c>
      <c r="BU78" t="str">
        <f t="shared" si="44"/>
        <v/>
      </c>
      <c r="BV78" t="str">
        <f t="shared" si="45"/>
        <v/>
      </c>
      <c r="BW78" t="str">
        <f t="shared" si="46"/>
        <v/>
      </c>
      <c r="BX78" t="str">
        <f t="shared" si="47"/>
        <v/>
      </c>
      <c r="BY78" t="str">
        <f t="shared" si="48"/>
        <v/>
      </c>
      <c r="BZ78" t="str">
        <f t="shared" si="49"/>
        <v/>
      </c>
      <c r="CA78" t="str">
        <f t="shared" si="50"/>
        <v/>
      </c>
      <c r="CB78" t="str">
        <f t="shared" si="51"/>
        <v/>
      </c>
      <c r="CC78" t="str">
        <f t="shared" si="52"/>
        <v/>
      </c>
      <c r="CD78" t="str">
        <f t="shared" si="53"/>
        <v/>
      </c>
    </row>
    <row r="79" spans="1:82" ht="33.6" customHeight="1" x14ac:dyDescent="0.3">
      <c r="A79" s="4"/>
      <c r="B79" s="4"/>
      <c r="C79" s="4"/>
      <c r="D79" s="5"/>
      <c r="E79" s="6"/>
      <c r="F79" s="5"/>
      <c r="G79" s="6"/>
      <c r="H79" s="5"/>
      <c r="I79" s="21"/>
      <c r="J79" s="5"/>
      <c r="K79" s="6"/>
      <c r="L79" s="5"/>
      <c r="M79" s="6"/>
      <c r="N79" s="5"/>
      <c r="O79" s="6"/>
      <c r="P79" s="5"/>
      <c r="Q79" s="6"/>
      <c r="R79" s="5"/>
      <c r="S79" s="6"/>
      <c r="T79" s="5"/>
      <c r="U79" s="21"/>
      <c r="V79" s="5"/>
      <c r="W79" s="6"/>
      <c r="X79" s="5"/>
      <c r="Y79" s="6"/>
      <c r="Z79" s="5"/>
      <c r="AA79" s="6"/>
      <c r="AB79" s="5"/>
      <c r="AC79" s="6"/>
      <c r="AD79" s="5"/>
      <c r="AE79" s="6"/>
      <c r="AF79" s="5"/>
      <c r="AG79" s="21"/>
      <c r="AH79" s="5"/>
      <c r="AI79" s="6"/>
      <c r="AJ79" s="5"/>
      <c r="AK79" s="6"/>
      <c r="AL79" s="5"/>
      <c r="AM79" s="21"/>
      <c r="AN79" s="5"/>
      <c r="AO79" s="6"/>
      <c r="AP79" s="5"/>
      <c r="AQ79" s="6"/>
      <c r="AR79" s="5"/>
      <c r="AS79" s="21"/>
      <c r="AT79" s="5"/>
      <c r="AU79" s="6"/>
      <c r="AV79" s="5"/>
      <c r="AW79" s="6"/>
      <c r="AX79" s="5"/>
      <c r="AY79" s="21"/>
      <c r="AZ79" s="6"/>
      <c r="BA79" s="6"/>
      <c r="BB79" s="6"/>
      <c r="BC79" s="7" t="str">
        <f t="shared" si="28"/>
        <v/>
      </c>
      <c r="BD79" s="7" t="str">
        <f t="shared" si="29"/>
        <v/>
      </c>
      <c r="BE79" s="4"/>
      <c r="BF79" s="16"/>
      <c r="BG79" s="16" t="str">
        <f t="shared" si="30"/>
        <v/>
      </c>
      <c r="BH79" s="16" t="str">
        <f t="shared" si="31"/>
        <v/>
      </c>
      <c r="BI79" s="16" t="str">
        <f t="shared" si="32"/>
        <v/>
      </c>
      <c r="BJ79" s="16" t="str">
        <f t="shared" si="33"/>
        <v/>
      </c>
      <c r="BK79" t="str">
        <f t="shared" si="34"/>
        <v/>
      </c>
      <c r="BL79" t="str">
        <f t="shared" si="35"/>
        <v/>
      </c>
      <c r="BM79" t="str">
        <f t="shared" si="36"/>
        <v/>
      </c>
      <c r="BN79" t="str">
        <f t="shared" si="37"/>
        <v/>
      </c>
      <c r="BO79" t="str">
        <f t="shared" si="38"/>
        <v/>
      </c>
      <c r="BP79" t="str">
        <f t="shared" si="39"/>
        <v/>
      </c>
      <c r="BQ79" t="str">
        <f t="shared" si="40"/>
        <v/>
      </c>
      <c r="BR79" t="str">
        <f t="shared" si="41"/>
        <v/>
      </c>
      <c r="BS79" t="str">
        <f t="shared" si="42"/>
        <v/>
      </c>
      <c r="BT79" t="str">
        <f t="shared" si="43"/>
        <v/>
      </c>
      <c r="BU79" t="str">
        <f t="shared" si="44"/>
        <v/>
      </c>
      <c r="BV79" t="str">
        <f t="shared" si="45"/>
        <v/>
      </c>
      <c r="BW79" t="str">
        <f t="shared" si="46"/>
        <v/>
      </c>
      <c r="BX79" t="str">
        <f t="shared" si="47"/>
        <v/>
      </c>
      <c r="BY79" t="str">
        <f t="shared" si="48"/>
        <v/>
      </c>
      <c r="BZ79" t="str">
        <f t="shared" si="49"/>
        <v/>
      </c>
      <c r="CA79" t="str">
        <f t="shared" si="50"/>
        <v/>
      </c>
      <c r="CB79" t="str">
        <f t="shared" si="51"/>
        <v/>
      </c>
      <c r="CC79" t="str">
        <f t="shared" si="52"/>
        <v/>
      </c>
      <c r="CD79" t="str">
        <f t="shared" si="53"/>
        <v/>
      </c>
    </row>
    <row r="80" spans="1:82" ht="33.6" customHeight="1" x14ac:dyDescent="0.3">
      <c r="A80" s="4"/>
      <c r="B80" s="4"/>
      <c r="C80" s="4"/>
      <c r="D80" s="5"/>
      <c r="E80" s="6"/>
      <c r="F80" s="5"/>
      <c r="G80" s="6"/>
      <c r="H80" s="5"/>
      <c r="I80" s="21"/>
      <c r="J80" s="5"/>
      <c r="K80" s="6"/>
      <c r="L80" s="5"/>
      <c r="M80" s="6"/>
      <c r="N80" s="5"/>
      <c r="O80" s="6"/>
      <c r="P80" s="5"/>
      <c r="Q80" s="6"/>
      <c r="R80" s="5"/>
      <c r="S80" s="6"/>
      <c r="T80" s="5"/>
      <c r="U80" s="21"/>
      <c r="V80" s="5"/>
      <c r="W80" s="6"/>
      <c r="X80" s="5"/>
      <c r="Y80" s="6"/>
      <c r="Z80" s="5"/>
      <c r="AA80" s="6"/>
      <c r="AB80" s="5"/>
      <c r="AC80" s="6"/>
      <c r="AD80" s="5"/>
      <c r="AE80" s="6"/>
      <c r="AF80" s="5"/>
      <c r="AG80" s="21"/>
      <c r="AH80" s="5"/>
      <c r="AI80" s="6"/>
      <c r="AJ80" s="5"/>
      <c r="AK80" s="6"/>
      <c r="AL80" s="5"/>
      <c r="AM80" s="21"/>
      <c r="AN80" s="5"/>
      <c r="AO80" s="6"/>
      <c r="AP80" s="5"/>
      <c r="AQ80" s="6"/>
      <c r="AR80" s="5"/>
      <c r="AS80" s="21"/>
      <c r="AT80" s="5"/>
      <c r="AU80" s="6"/>
      <c r="AV80" s="5"/>
      <c r="AW80" s="6"/>
      <c r="AX80" s="5"/>
      <c r="AY80" s="21"/>
      <c r="AZ80" s="6"/>
      <c r="BA80" s="6"/>
      <c r="BB80" s="6"/>
      <c r="BC80" s="7" t="str">
        <f t="shared" si="28"/>
        <v/>
      </c>
      <c r="BD80" s="7" t="str">
        <f t="shared" si="29"/>
        <v/>
      </c>
      <c r="BE80" s="4"/>
      <c r="BF80" s="16"/>
      <c r="BG80" s="16" t="str">
        <f t="shared" si="30"/>
        <v/>
      </c>
      <c r="BH80" s="16" t="str">
        <f t="shared" si="31"/>
        <v/>
      </c>
      <c r="BI80" s="16" t="str">
        <f t="shared" si="32"/>
        <v/>
      </c>
      <c r="BJ80" s="16" t="str">
        <f t="shared" si="33"/>
        <v/>
      </c>
      <c r="BK80" t="str">
        <f t="shared" si="34"/>
        <v/>
      </c>
      <c r="BL80" t="str">
        <f t="shared" si="35"/>
        <v/>
      </c>
      <c r="BM80" t="str">
        <f t="shared" si="36"/>
        <v/>
      </c>
      <c r="BN80" t="str">
        <f t="shared" si="37"/>
        <v/>
      </c>
      <c r="BO80" t="str">
        <f t="shared" si="38"/>
        <v/>
      </c>
      <c r="BP80" t="str">
        <f t="shared" si="39"/>
        <v/>
      </c>
      <c r="BQ80" t="str">
        <f t="shared" si="40"/>
        <v/>
      </c>
      <c r="BR80" t="str">
        <f t="shared" si="41"/>
        <v/>
      </c>
      <c r="BS80" t="str">
        <f t="shared" si="42"/>
        <v/>
      </c>
      <c r="BT80" t="str">
        <f t="shared" si="43"/>
        <v/>
      </c>
      <c r="BU80" t="str">
        <f t="shared" si="44"/>
        <v/>
      </c>
      <c r="BV80" t="str">
        <f t="shared" si="45"/>
        <v/>
      </c>
      <c r="BW80" t="str">
        <f t="shared" si="46"/>
        <v/>
      </c>
      <c r="BX80" t="str">
        <f t="shared" si="47"/>
        <v/>
      </c>
      <c r="BY80" t="str">
        <f t="shared" si="48"/>
        <v/>
      </c>
      <c r="BZ80" t="str">
        <f t="shared" si="49"/>
        <v/>
      </c>
      <c r="CA80" t="str">
        <f t="shared" si="50"/>
        <v/>
      </c>
      <c r="CB80" t="str">
        <f t="shared" si="51"/>
        <v/>
      </c>
      <c r="CC80" t="str">
        <f t="shared" si="52"/>
        <v/>
      </c>
      <c r="CD80" t="str">
        <f t="shared" si="53"/>
        <v/>
      </c>
    </row>
    <row r="81" spans="1:82" ht="33.6" customHeight="1" x14ac:dyDescent="0.3">
      <c r="A81" s="4"/>
      <c r="B81" s="4"/>
      <c r="C81" s="4"/>
      <c r="D81" s="5"/>
      <c r="E81" s="6"/>
      <c r="F81" s="5"/>
      <c r="G81" s="6"/>
      <c r="H81" s="5"/>
      <c r="I81" s="21"/>
      <c r="J81" s="5"/>
      <c r="K81" s="6"/>
      <c r="L81" s="5"/>
      <c r="M81" s="6"/>
      <c r="N81" s="5"/>
      <c r="O81" s="6"/>
      <c r="P81" s="5"/>
      <c r="Q81" s="6"/>
      <c r="R81" s="5"/>
      <c r="S81" s="6"/>
      <c r="T81" s="5"/>
      <c r="U81" s="21"/>
      <c r="V81" s="5"/>
      <c r="W81" s="6"/>
      <c r="X81" s="5"/>
      <c r="Y81" s="6"/>
      <c r="Z81" s="5"/>
      <c r="AA81" s="6"/>
      <c r="AB81" s="5"/>
      <c r="AC81" s="6"/>
      <c r="AD81" s="5"/>
      <c r="AE81" s="6"/>
      <c r="AF81" s="5"/>
      <c r="AG81" s="21"/>
      <c r="AH81" s="5"/>
      <c r="AI81" s="6"/>
      <c r="AJ81" s="5"/>
      <c r="AK81" s="6"/>
      <c r="AL81" s="5"/>
      <c r="AM81" s="21"/>
      <c r="AN81" s="5"/>
      <c r="AO81" s="6"/>
      <c r="AP81" s="5"/>
      <c r="AQ81" s="6"/>
      <c r="AR81" s="5"/>
      <c r="AS81" s="21"/>
      <c r="AT81" s="5"/>
      <c r="AU81" s="6"/>
      <c r="AV81" s="5"/>
      <c r="AW81" s="6"/>
      <c r="AX81" s="5"/>
      <c r="AY81" s="21"/>
      <c r="AZ81" s="6"/>
      <c r="BA81" s="6"/>
      <c r="BB81" s="6"/>
      <c r="BC81" s="7" t="str">
        <f t="shared" si="28"/>
        <v/>
      </c>
      <c r="BD81" s="7" t="str">
        <f t="shared" si="29"/>
        <v/>
      </c>
      <c r="BE81" s="4"/>
      <c r="BF81" s="16"/>
      <c r="BG81" s="16" t="str">
        <f t="shared" si="30"/>
        <v/>
      </c>
      <c r="BH81" s="16" t="str">
        <f t="shared" si="31"/>
        <v/>
      </c>
      <c r="BI81" s="16" t="str">
        <f t="shared" si="32"/>
        <v/>
      </c>
      <c r="BJ81" s="16" t="str">
        <f t="shared" si="33"/>
        <v/>
      </c>
      <c r="BK81" t="str">
        <f t="shared" si="34"/>
        <v/>
      </c>
      <c r="BL81" t="str">
        <f t="shared" si="35"/>
        <v/>
      </c>
      <c r="BM81" t="str">
        <f t="shared" si="36"/>
        <v/>
      </c>
      <c r="BN81" t="str">
        <f t="shared" si="37"/>
        <v/>
      </c>
      <c r="BO81" t="str">
        <f t="shared" si="38"/>
        <v/>
      </c>
      <c r="BP81" t="str">
        <f t="shared" si="39"/>
        <v/>
      </c>
      <c r="BQ81" t="str">
        <f t="shared" si="40"/>
        <v/>
      </c>
      <c r="BR81" t="str">
        <f t="shared" si="41"/>
        <v/>
      </c>
      <c r="BS81" t="str">
        <f t="shared" si="42"/>
        <v/>
      </c>
      <c r="BT81" t="str">
        <f t="shared" si="43"/>
        <v/>
      </c>
      <c r="BU81" t="str">
        <f t="shared" si="44"/>
        <v/>
      </c>
      <c r="BV81" t="str">
        <f t="shared" si="45"/>
        <v/>
      </c>
      <c r="BW81" t="str">
        <f t="shared" si="46"/>
        <v/>
      </c>
      <c r="BX81" t="str">
        <f t="shared" si="47"/>
        <v/>
      </c>
      <c r="BY81" t="str">
        <f t="shared" si="48"/>
        <v/>
      </c>
      <c r="BZ81" t="str">
        <f t="shared" si="49"/>
        <v/>
      </c>
      <c r="CA81" t="str">
        <f t="shared" si="50"/>
        <v/>
      </c>
      <c r="CB81" t="str">
        <f t="shared" si="51"/>
        <v/>
      </c>
      <c r="CC81" t="str">
        <f t="shared" si="52"/>
        <v/>
      </c>
      <c r="CD81" t="str">
        <f t="shared" si="53"/>
        <v/>
      </c>
    </row>
    <row r="82" spans="1:82" ht="33.6" customHeight="1" x14ac:dyDescent="0.3">
      <c r="A82" s="4"/>
      <c r="B82" s="4"/>
      <c r="C82" s="4"/>
      <c r="D82" s="5"/>
      <c r="E82" s="6"/>
      <c r="F82" s="5"/>
      <c r="G82" s="6"/>
      <c r="H82" s="5"/>
      <c r="I82" s="21"/>
      <c r="J82" s="5"/>
      <c r="K82" s="6"/>
      <c r="L82" s="5"/>
      <c r="M82" s="6"/>
      <c r="N82" s="5"/>
      <c r="O82" s="6"/>
      <c r="P82" s="5"/>
      <c r="Q82" s="6"/>
      <c r="R82" s="5"/>
      <c r="S82" s="6"/>
      <c r="T82" s="5"/>
      <c r="U82" s="21"/>
      <c r="V82" s="5"/>
      <c r="W82" s="6"/>
      <c r="X82" s="5"/>
      <c r="Y82" s="6"/>
      <c r="Z82" s="5"/>
      <c r="AA82" s="6"/>
      <c r="AB82" s="5"/>
      <c r="AC82" s="6"/>
      <c r="AD82" s="5"/>
      <c r="AE82" s="6"/>
      <c r="AF82" s="5"/>
      <c r="AG82" s="21"/>
      <c r="AH82" s="5"/>
      <c r="AI82" s="6"/>
      <c r="AJ82" s="5"/>
      <c r="AK82" s="6"/>
      <c r="AL82" s="5"/>
      <c r="AM82" s="21"/>
      <c r="AN82" s="5"/>
      <c r="AO82" s="6"/>
      <c r="AP82" s="5"/>
      <c r="AQ82" s="6"/>
      <c r="AR82" s="5"/>
      <c r="AS82" s="21"/>
      <c r="AT82" s="5"/>
      <c r="AU82" s="6"/>
      <c r="AV82" s="5"/>
      <c r="AW82" s="6"/>
      <c r="AX82" s="5"/>
      <c r="AY82" s="21"/>
      <c r="AZ82" s="6"/>
      <c r="BA82" s="6"/>
      <c r="BB82" s="6"/>
      <c r="BC82" s="7" t="str">
        <f t="shared" si="28"/>
        <v/>
      </c>
      <c r="BD82" s="7" t="str">
        <f t="shared" si="29"/>
        <v/>
      </c>
      <c r="BE82" s="4"/>
      <c r="BF82" s="16"/>
      <c r="BG82" s="16" t="str">
        <f t="shared" si="30"/>
        <v/>
      </c>
      <c r="BH82" s="16" t="str">
        <f t="shared" si="31"/>
        <v/>
      </c>
      <c r="BI82" s="16" t="str">
        <f t="shared" si="32"/>
        <v/>
      </c>
      <c r="BJ82" s="16" t="str">
        <f t="shared" si="33"/>
        <v/>
      </c>
      <c r="BK82" t="str">
        <f t="shared" si="34"/>
        <v/>
      </c>
      <c r="BL82" t="str">
        <f t="shared" si="35"/>
        <v/>
      </c>
      <c r="BM82" t="str">
        <f t="shared" si="36"/>
        <v/>
      </c>
      <c r="BN82" t="str">
        <f t="shared" si="37"/>
        <v/>
      </c>
      <c r="BO82" t="str">
        <f t="shared" si="38"/>
        <v/>
      </c>
      <c r="BP82" t="str">
        <f t="shared" si="39"/>
        <v/>
      </c>
      <c r="BQ82" t="str">
        <f t="shared" si="40"/>
        <v/>
      </c>
      <c r="BR82" t="str">
        <f t="shared" si="41"/>
        <v/>
      </c>
      <c r="BS82" t="str">
        <f t="shared" si="42"/>
        <v/>
      </c>
      <c r="BT82" t="str">
        <f t="shared" si="43"/>
        <v/>
      </c>
      <c r="BU82" t="str">
        <f t="shared" si="44"/>
        <v/>
      </c>
      <c r="BV82" t="str">
        <f t="shared" si="45"/>
        <v/>
      </c>
      <c r="BW82" t="str">
        <f t="shared" si="46"/>
        <v/>
      </c>
      <c r="BX82" t="str">
        <f t="shared" si="47"/>
        <v/>
      </c>
      <c r="BY82" t="str">
        <f t="shared" si="48"/>
        <v/>
      </c>
      <c r="BZ82" t="str">
        <f t="shared" si="49"/>
        <v/>
      </c>
      <c r="CA82" t="str">
        <f t="shared" si="50"/>
        <v/>
      </c>
      <c r="CB82" t="str">
        <f t="shared" si="51"/>
        <v/>
      </c>
      <c r="CC82" t="str">
        <f t="shared" si="52"/>
        <v/>
      </c>
      <c r="CD82" t="str">
        <f t="shared" si="53"/>
        <v/>
      </c>
    </row>
    <row r="83" spans="1:82" ht="33.6" customHeight="1" x14ac:dyDescent="0.3">
      <c r="A83" s="4"/>
      <c r="B83" s="4"/>
      <c r="C83" s="4"/>
      <c r="D83" s="5"/>
      <c r="E83" s="6"/>
      <c r="F83" s="5"/>
      <c r="G83" s="6"/>
      <c r="H83" s="5"/>
      <c r="I83" s="21"/>
      <c r="J83" s="5"/>
      <c r="K83" s="6"/>
      <c r="L83" s="5"/>
      <c r="M83" s="6"/>
      <c r="N83" s="5"/>
      <c r="O83" s="6"/>
      <c r="P83" s="5"/>
      <c r="Q83" s="6"/>
      <c r="R83" s="5"/>
      <c r="S83" s="6"/>
      <c r="T83" s="5"/>
      <c r="U83" s="21"/>
      <c r="V83" s="5"/>
      <c r="W83" s="6"/>
      <c r="X83" s="5"/>
      <c r="Y83" s="6"/>
      <c r="Z83" s="5"/>
      <c r="AA83" s="6"/>
      <c r="AB83" s="5"/>
      <c r="AC83" s="6"/>
      <c r="AD83" s="5"/>
      <c r="AE83" s="6"/>
      <c r="AF83" s="5"/>
      <c r="AG83" s="21"/>
      <c r="AH83" s="5"/>
      <c r="AI83" s="6"/>
      <c r="AJ83" s="5"/>
      <c r="AK83" s="6"/>
      <c r="AL83" s="5"/>
      <c r="AM83" s="21"/>
      <c r="AN83" s="5"/>
      <c r="AO83" s="6"/>
      <c r="AP83" s="5"/>
      <c r="AQ83" s="6"/>
      <c r="AR83" s="5"/>
      <c r="AS83" s="21"/>
      <c r="AT83" s="5"/>
      <c r="AU83" s="6"/>
      <c r="AV83" s="5"/>
      <c r="AW83" s="6"/>
      <c r="AX83" s="5"/>
      <c r="AY83" s="21"/>
      <c r="AZ83" s="6"/>
      <c r="BA83" s="6"/>
      <c r="BB83" s="6"/>
      <c r="BC83" s="7" t="str">
        <f t="shared" si="28"/>
        <v/>
      </c>
      <c r="BD83" s="7" t="str">
        <f t="shared" si="29"/>
        <v/>
      </c>
      <c r="BE83" s="4"/>
      <c r="BF83" s="16"/>
      <c r="BG83" s="16" t="str">
        <f t="shared" si="30"/>
        <v/>
      </c>
      <c r="BH83" s="16" t="str">
        <f t="shared" si="31"/>
        <v/>
      </c>
      <c r="BI83" s="16" t="str">
        <f t="shared" si="32"/>
        <v/>
      </c>
      <c r="BJ83" s="16" t="str">
        <f t="shared" si="33"/>
        <v/>
      </c>
      <c r="BK83" t="str">
        <f t="shared" si="34"/>
        <v/>
      </c>
      <c r="BL83" t="str">
        <f t="shared" si="35"/>
        <v/>
      </c>
      <c r="BM83" t="str">
        <f t="shared" si="36"/>
        <v/>
      </c>
      <c r="BN83" t="str">
        <f t="shared" si="37"/>
        <v/>
      </c>
      <c r="BO83" t="str">
        <f t="shared" si="38"/>
        <v/>
      </c>
      <c r="BP83" t="str">
        <f t="shared" si="39"/>
        <v/>
      </c>
      <c r="BQ83" t="str">
        <f t="shared" si="40"/>
        <v/>
      </c>
      <c r="BR83" t="str">
        <f t="shared" si="41"/>
        <v/>
      </c>
      <c r="BS83" t="str">
        <f t="shared" si="42"/>
        <v/>
      </c>
      <c r="BT83" t="str">
        <f t="shared" si="43"/>
        <v/>
      </c>
      <c r="BU83" t="str">
        <f t="shared" si="44"/>
        <v/>
      </c>
      <c r="BV83" t="str">
        <f t="shared" si="45"/>
        <v/>
      </c>
      <c r="BW83" t="str">
        <f t="shared" si="46"/>
        <v/>
      </c>
      <c r="BX83" t="str">
        <f t="shared" si="47"/>
        <v/>
      </c>
      <c r="BY83" t="str">
        <f t="shared" si="48"/>
        <v/>
      </c>
      <c r="BZ83" t="str">
        <f t="shared" si="49"/>
        <v/>
      </c>
      <c r="CA83" t="str">
        <f t="shared" si="50"/>
        <v/>
      </c>
      <c r="CB83" t="str">
        <f t="shared" si="51"/>
        <v/>
      </c>
      <c r="CC83" t="str">
        <f t="shared" si="52"/>
        <v/>
      </c>
      <c r="CD83" t="str">
        <f t="shared" si="53"/>
        <v/>
      </c>
    </row>
    <row r="84" spans="1:82" ht="33.6" customHeight="1" x14ac:dyDescent="0.3">
      <c r="A84" s="4"/>
      <c r="B84" s="4"/>
      <c r="C84" s="4"/>
      <c r="D84" s="5"/>
      <c r="E84" s="6"/>
      <c r="F84" s="5"/>
      <c r="G84" s="6"/>
      <c r="H84" s="5"/>
      <c r="I84" s="21"/>
      <c r="J84" s="5"/>
      <c r="K84" s="6"/>
      <c r="L84" s="5"/>
      <c r="M84" s="6"/>
      <c r="N84" s="5"/>
      <c r="O84" s="6"/>
      <c r="P84" s="5"/>
      <c r="Q84" s="6"/>
      <c r="R84" s="5"/>
      <c r="S84" s="6"/>
      <c r="T84" s="5"/>
      <c r="U84" s="21"/>
      <c r="V84" s="5"/>
      <c r="W84" s="6"/>
      <c r="X84" s="5"/>
      <c r="Y84" s="6"/>
      <c r="Z84" s="5"/>
      <c r="AA84" s="6"/>
      <c r="AB84" s="5"/>
      <c r="AC84" s="6"/>
      <c r="AD84" s="5"/>
      <c r="AE84" s="6"/>
      <c r="AF84" s="5"/>
      <c r="AG84" s="21"/>
      <c r="AH84" s="5"/>
      <c r="AI84" s="6"/>
      <c r="AJ84" s="5"/>
      <c r="AK84" s="6"/>
      <c r="AL84" s="5"/>
      <c r="AM84" s="21"/>
      <c r="AN84" s="5"/>
      <c r="AO84" s="6"/>
      <c r="AP84" s="5"/>
      <c r="AQ84" s="6"/>
      <c r="AR84" s="5"/>
      <c r="AS84" s="21"/>
      <c r="AT84" s="5"/>
      <c r="AU84" s="6"/>
      <c r="AV84" s="5"/>
      <c r="AW84" s="6"/>
      <c r="AX84" s="5"/>
      <c r="AY84" s="21"/>
      <c r="AZ84" s="6"/>
      <c r="BA84" s="6"/>
      <c r="BB84" s="6"/>
      <c r="BC84" s="7" t="str">
        <f t="shared" si="28"/>
        <v/>
      </c>
      <c r="BD84" s="7" t="str">
        <f t="shared" si="29"/>
        <v/>
      </c>
      <c r="BE84" s="4"/>
      <c r="BF84" s="16"/>
      <c r="BG84" s="16" t="str">
        <f t="shared" si="30"/>
        <v/>
      </c>
      <c r="BH84" s="16" t="str">
        <f t="shared" si="31"/>
        <v/>
      </c>
      <c r="BI84" s="16" t="str">
        <f t="shared" si="32"/>
        <v/>
      </c>
      <c r="BJ84" s="16" t="str">
        <f t="shared" si="33"/>
        <v/>
      </c>
      <c r="BK84" t="str">
        <f t="shared" si="34"/>
        <v/>
      </c>
      <c r="BL84" t="str">
        <f t="shared" si="35"/>
        <v/>
      </c>
      <c r="BM84" t="str">
        <f t="shared" si="36"/>
        <v/>
      </c>
      <c r="BN84" t="str">
        <f t="shared" si="37"/>
        <v/>
      </c>
      <c r="BO84" t="str">
        <f t="shared" si="38"/>
        <v/>
      </c>
      <c r="BP84" t="str">
        <f t="shared" si="39"/>
        <v/>
      </c>
      <c r="BQ84" t="str">
        <f t="shared" si="40"/>
        <v/>
      </c>
      <c r="BR84" t="str">
        <f t="shared" si="41"/>
        <v/>
      </c>
      <c r="BS84" t="str">
        <f t="shared" si="42"/>
        <v/>
      </c>
      <c r="BT84" t="str">
        <f t="shared" si="43"/>
        <v/>
      </c>
      <c r="BU84" t="str">
        <f t="shared" si="44"/>
        <v/>
      </c>
      <c r="BV84" t="str">
        <f t="shared" si="45"/>
        <v/>
      </c>
      <c r="BW84" t="str">
        <f t="shared" si="46"/>
        <v/>
      </c>
      <c r="BX84" t="str">
        <f t="shared" si="47"/>
        <v/>
      </c>
      <c r="BY84" t="str">
        <f t="shared" si="48"/>
        <v/>
      </c>
      <c r="BZ84" t="str">
        <f t="shared" si="49"/>
        <v/>
      </c>
      <c r="CA84" t="str">
        <f t="shared" si="50"/>
        <v/>
      </c>
      <c r="CB84" t="str">
        <f t="shared" si="51"/>
        <v/>
      </c>
      <c r="CC84" t="str">
        <f t="shared" si="52"/>
        <v/>
      </c>
      <c r="CD84" t="str">
        <f t="shared" si="53"/>
        <v/>
      </c>
    </row>
    <row r="85" spans="1:82" ht="33.6" customHeight="1" x14ac:dyDescent="0.3">
      <c r="A85" s="4"/>
      <c r="B85" s="4"/>
      <c r="C85" s="4"/>
      <c r="D85" s="5"/>
      <c r="E85" s="6"/>
      <c r="F85" s="5"/>
      <c r="G85" s="6"/>
      <c r="H85" s="5"/>
      <c r="I85" s="21"/>
      <c r="J85" s="5"/>
      <c r="K85" s="6"/>
      <c r="L85" s="5"/>
      <c r="M85" s="6"/>
      <c r="N85" s="5"/>
      <c r="O85" s="6"/>
      <c r="P85" s="5"/>
      <c r="Q85" s="6"/>
      <c r="R85" s="5"/>
      <c r="S85" s="6"/>
      <c r="T85" s="5"/>
      <c r="U85" s="21"/>
      <c r="V85" s="5"/>
      <c r="W85" s="6"/>
      <c r="X85" s="5"/>
      <c r="Y85" s="6"/>
      <c r="Z85" s="5"/>
      <c r="AA85" s="6"/>
      <c r="AB85" s="5"/>
      <c r="AC85" s="6"/>
      <c r="AD85" s="5"/>
      <c r="AE85" s="6"/>
      <c r="AF85" s="5"/>
      <c r="AG85" s="21"/>
      <c r="AH85" s="5"/>
      <c r="AI85" s="6"/>
      <c r="AJ85" s="5"/>
      <c r="AK85" s="6"/>
      <c r="AL85" s="5"/>
      <c r="AM85" s="21"/>
      <c r="AN85" s="5"/>
      <c r="AO85" s="6"/>
      <c r="AP85" s="5"/>
      <c r="AQ85" s="6"/>
      <c r="AR85" s="5"/>
      <c r="AS85" s="21"/>
      <c r="AT85" s="5"/>
      <c r="AU85" s="6"/>
      <c r="AV85" s="5"/>
      <c r="AW85" s="6"/>
      <c r="AX85" s="5"/>
      <c r="AY85" s="21"/>
      <c r="AZ85" s="6"/>
      <c r="BA85" s="6"/>
      <c r="BB85" s="6"/>
      <c r="BC85" s="7" t="str">
        <f t="shared" si="28"/>
        <v/>
      </c>
      <c r="BD85" s="7" t="str">
        <f t="shared" si="29"/>
        <v/>
      </c>
      <c r="BE85" s="4"/>
      <c r="BF85" s="16"/>
      <c r="BG85" s="16" t="str">
        <f t="shared" si="30"/>
        <v/>
      </c>
      <c r="BH85" s="16" t="str">
        <f t="shared" si="31"/>
        <v/>
      </c>
      <c r="BI85" s="16" t="str">
        <f t="shared" si="32"/>
        <v/>
      </c>
      <c r="BJ85" s="16" t="str">
        <f t="shared" si="33"/>
        <v/>
      </c>
      <c r="BK85" t="str">
        <f t="shared" si="34"/>
        <v/>
      </c>
      <c r="BL85" t="str">
        <f t="shared" si="35"/>
        <v/>
      </c>
      <c r="BM85" t="str">
        <f t="shared" si="36"/>
        <v/>
      </c>
      <c r="BN85" t="str">
        <f t="shared" si="37"/>
        <v/>
      </c>
      <c r="BO85" t="str">
        <f t="shared" si="38"/>
        <v/>
      </c>
      <c r="BP85" t="str">
        <f t="shared" si="39"/>
        <v/>
      </c>
      <c r="BQ85" t="str">
        <f t="shared" si="40"/>
        <v/>
      </c>
      <c r="BR85" t="str">
        <f t="shared" si="41"/>
        <v/>
      </c>
      <c r="BS85" t="str">
        <f t="shared" si="42"/>
        <v/>
      </c>
      <c r="BT85" t="str">
        <f t="shared" si="43"/>
        <v/>
      </c>
      <c r="BU85" t="str">
        <f t="shared" si="44"/>
        <v/>
      </c>
      <c r="BV85" t="str">
        <f t="shared" si="45"/>
        <v/>
      </c>
      <c r="BW85" t="str">
        <f t="shared" si="46"/>
        <v/>
      </c>
      <c r="BX85" t="str">
        <f t="shared" si="47"/>
        <v/>
      </c>
      <c r="BY85" t="str">
        <f t="shared" si="48"/>
        <v/>
      </c>
      <c r="BZ85" t="str">
        <f t="shared" si="49"/>
        <v/>
      </c>
      <c r="CA85" t="str">
        <f t="shared" si="50"/>
        <v/>
      </c>
      <c r="CB85" t="str">
        <f t="shared" si="51"/>
        <v/>
      </c>
      <c r="CC85" t="str">
        <f t="shared" si="52"/>
        <v/>
      </c>
      <c r="CD85" t="str">
        <f t="shared" si="53"/>
        <v/>
      </c>
    </row>
    <row r="86" spans="1:82" ht="33.6" customHeight="1" x14ac:dyDescent="0.3">
      <c r="A86" s="4"/>
      <c r="B86" s="4"/>
      <c r="C86" s="4"/>
      <c r="D86" s="5"/>
      <c r="E86" s="6"/>
      <c r="F86" s="5"/>
      <c r="G86" s="6"/>
      <c r="H86" s="5"/>
      <c r="I86" s="21"/>
      <c r="J86" s="5"/>
      <c r="K86" s="6"/>
      <c r="L86" s="5"/>
      <c r="M86" s="6"/>
      <c r="N86" s="5"/>
      <c r="O86" s="6"/>
      <c r="P86" s="5"/>
      <c r="Q86" s="6"/>
      <c r="R86" s="5"/>
      <c r="S86" s="6"/>
      <c r="T86" s="5"/>
      <c r="U86" s="21"/>
      <c r="V86" s="5"/>
      <c r="W86" s="6"/>
      <c r="X86" s="5"/>
      <c r="Y86" s="6"/>
      <c r="Z86" s="5"/>
      <c r="AA86" s="6"/>
      <c r="AB86" s="5"/>
      <c r="AC86" s="6"/>
      <c r="AD86" s="5"/>
      <c r="AE86" s="6"/>
      <c r="AF86" s="5"/>
      <c r="AG86" s="21"/>
      <c r="AH86" s="5"/>
      <c r="AI86" s="6"/>
      <c r="AJ86" s="5"/>
      <c r="AK86" s="6"/>
      <c r="AL86" s="5"/>
      <c r="AM86" s="21"/>
      <c r="AN86" s="5"/>
      <c r="AO86" s="6"/>
      <c r="AP86" s="5"/>
      <c r="AQ86" s="6"/>
      <c r="AR86" s="5"/>
      <c r="AS86" s="21"/>
      <c r="AT86" s="5"/>
      <c r="AU86" s="6"/>
      <c r="AV86" s="5"/>
      <c r="AW86" s="6"/>
      <c r="AX86" s="5"/>
      <c r="AY86" s="21"/>
      <c r="AZ86" s="6"/>
      <c r="BA86" s="6"/>
      <c r="BB86" s="6"/>
      <c r="BC86" s="7" t="str">
        <f t="shared" si="28"/>
        <v/>
      </c>
      <c r="BD86" s="7" t="str">
        <f t="shared" si="29"/>
        <v/>
      </c>
      <c r="BE86" s="4"/>
      <c r="BF86" s="16"/>
      <c r="BG86" s="16" t="str">
        <f t="shared" si="30"/>
        <v/>
      </c>
      <c r="BH86" s="16" t="str">
        <f t="shared" si="31"/>
        <v/>
      </c>
      <c r="BI86" s="16" t="str">
        <f t="shared" si="32"/>
        <v/>
      </c>
      <c r="BJ86" s="16" t="str">
        <f t="shared" si="33"/>
        <v/>
      </c>
      <c r="BK86" t="str">
        <f t="shared" si="34"/>
        <v/>
      </c>
      <c r="BL86" t="str">
        <f t="shared" si="35"/>
        <v/>
      </c>
      <c r="BM86" t="str">
        <f t="shared" si="36"/>
        <v/>
      </c>
      <c r="BN86" t="str">
        <f t="shared" si="37"/>
        <v/>
      </c>
      <c r="BO86" t="str">
        <f t="shared" si="38"/>
        <v/>
      </c>
      <c r="BP86" t="str">
        <f t="shared" si="39"/>
        <v/>
      </c>
      <c r="BQ86" t="str">
        <f t="shared" si="40"/>
        <v/>
      </c>
      <c r="BR86" t="str">
        <f t="shared" si="41"/>
        <v/>
      </c>
      <c r="BS86" t="str">
        <f t="shared" si="42"/>
        <v/>
      </c>
      <c r="BT86" t="str">
        <f t="shared" si="43"/>
        <v/>
      </c>
      <c r="BU86" t="str">
        <f t="shared" si="44"/>
        <v/>
      </c>
      <c r="BV86" t="str">
        <f t="shared" si="45"/>
        <v/>
      </c>
      <c r="BW86" t="str">
        <f t="shared" si="46"/>
        <v/>
      </c>
      <c r="BX86" t="str">
        <f t="shared" si="47"/>
        <v/>
      </c>
      <c r="BY86" t="str">
        <f t="shared" si="48"/>
        <v/>
      </c>
      <c r="BZ86" t="str">
        <f t="shared" si="49"/>
        <v/>
      </c>
      <c r="CA86" t="str">
        <f t="shared" si="50"/>
        <v/>
      </c>
      <c r="CB86" t="str">
        <f t="shared" si="51"/>
        <v/>
      </c>
      <c r="CC86" t="str">
        <f t="shared" si="52"/>
        <v/>
      </c>
      <c r="CD86" t="str">
        <f t="shared" si="53"/>
        <v/>
      </c>
    </row>
    <row r="87" spans="1:82" ht="33.6" customHeight="1" x14ac:dyDescent="0.3">
      <c r="A87" s="4"/>
      <c r="B87" s="4"/>
      <c r="C87" s="4"/>
      <c r="D87" s="5"/>
      <c r="E87" s="6"/>
      <c r="F87" s="5"/>
      <c r="G87" s="6"/>
      <c r="H87" s="5"/>
      <c r="I87" s="21"/>
      <c r="J87" s="5"/>
      <c r="K87" s="6"/>
      <c r="L87" s="5"/>
      <c r="M87" s="6"/>
      <c r="N87" s="5"/>
      <c r="O87" s="6"/>
      <c r="P87" s="5"/>
      <c r="Q87" s="6"/>
      <c r="R87" s="5"/>
      <c r="S87" s="6"/>
      <c r="T87" s="5"/>
      <c r="U87" s="21"/>
      <c r="V87" s="5"/>
      <c r="W87" s="6"/>
      <c r="X87" s="5"/>
      <c r="Y87" s="6"/>
      <c r="Z87" s="5"/>
      <c r="AA87" s="6"/>
      <c r="AB87" s="5"/>
      <c r="AC87" s="6"/>
      <c r="AD87" s="5"/>
      <c r="AE87" s="6"/>
      <c r="AF87" s="5"/>
      <c r="AG87" s="21"/>
      <c r="AH87" s="5"/>
      <c r="AI87" s="6"/>
      <c r="AJ87" s="5"/>
      <c r="AK87" s="6"/>
      <c r="AL87" s="5"/>
      <c r="AM87" s="21"/>
      <c r="AN87" s="5"/>
      <c r="AO87" s="6"/>
      <c r="AP87" s="5"/>
      <c r="AQ87" s="6"/>
      <c r="AR87" s="5"/>
      <c r="AS87" s="21"/>
      <c r="AT87" s="5"/>
      <c r="AU87" s="6"/>
      <c r="AV87" s="5"/>
      <c r="AW87" s="6"/>
      <c r="AX87" s="5"/>
      <c r="AY87" s="21"/>
      <c r="AZ87" s="6"/>
      <c r="BA87" s="6"/>
      <c r="BB87" s="6"/>
      <c r="BC87" s="7" t="str">
        <f t="shared" si="28"/>
        <v/>
      </c>
      <c r="BD87" s="7" t="str">
        <f t="shared" si="29"/>
        <v/>
      </c>
      <c r="BE87" s="4"/>
      <c r="BF87" s="16"/>
      <c r="BG87" s="16" t="str">
        <f t="shared" si="30"/>
        <v/>
      </c>
      <c r="BH87" s="16" t="str">
        <f t="shared" si="31"/>
        <v/>
      </c>
      <c r="BI87" s="16" t="str">
        <f t="shared" si="32"/>
        <v/>
      </c>
      <c r="BJ87" s="16" t="str">
        <f t="shared" si="33"/>
        <v/>
      </c>
      <c r="BK87" t="str">
        <f t="shared" si="34"/>
        <v/>
      </c>
      <c r="BL87" t="str">
        <f t="shared" si="35"/>
        <v/>
      </c>
      <c r="BM87" t="str">
        <f t="shared" si="36"/>
        <v/>
      </c>
      <c r="BN87" t="str">
        <f t="shared" si="37"/>
        <v/>
      </c>
      <c r="BO87" t="str">
        <f t="shared" si="38"/>
        <v/>
      </c>
      <c r="BP87" t="str">
        <f t="shared" si="39"/>
        <v/>
      </c>
      <c r="BQ87" t="str">
        <f t="shared" si="40"/>
        <v/>
      </c>
      <c r="BR87" t="str">
        <f t="shared" si="41"/>
        <v/>
      </c>
      <c r="BS87" t="str">
        <f t="shared" si="42"/>
        <v/>
      </c>
      <c r="BT87" t="str">
        <f t="shared" si="43"/>
        <v/>
      </c>
      <c r="BU87" t="str">
        <f t="shared" si="44"/>
        <v/>
      </c>
      <c r="BV87" t="str">
        <f t="shared" si="45"/>
        <v/>
      </c>
      <c r="BW87" t="str">
        <f t="shared" si="46"/>
        <v/>
      </c>
      <c r="BX87" t="str">
        <f t="shared" si="47"/>
        <v/>
      </c>
      <c r="BY87" t="str">
        <f t="shared" si="48"/>
        <v/>
      </c>
      <c r="BZ87" t="str">
        <f t="shared" si="49"/>
        <v/>
      </c>
      <c r="CA87" t="str">
        <f t="shared" si="50"/>
        <v/>
      </c>
      <c r="CB87" t="str">
        <f t="shared" si="51"/>
        <v/>
      </c>
      <c r="CC87" t="str">
        <f t="shared" si="52"/>
        <v/>
      </c>
      <c r="CD87" t="str">
        <f t="shared" si="53"/>
        <v/>
      </c>
    </row>
    <row r="88" spans="1:82" ht="33.6" customHeight="1" x14ac:dyDescent="0.3">
      <c r="A88" s="4"/>
      <c r="B88" s="4"/>
      <c r="C88" s="4"/>
      <c r="D88" s="5"/>
      <c r="E88" s="6"/>
      <c r="F88" s="5"/>
      <c r="G88" s="6"/>
      <c r="H88" s="5"/>
      <c r="I88" s="21"/>
      <c r="J88" s="5"/>
      <c r="K88" s="6"/>
      <c r="L88" s="5"/>
      <c r="M88" s="6"/>
      <c r="N88" s="5"/>
      <c r="O88" s="6"/>
      <c r="P88" s="5"/>
      <c r="Q88" s="6"/>
      <c r="R88" s="5"/>
      <c r="S88" s="6"/>
      <c r="T88" s="5"/>
      <c r="U88" s="21"/>
      <c r="V88" s="5"/>
      <c r="W88" s="6"/>
      <c r="X88" s="5"/>
      <c r="Y88" s="6"/>
      <c r="Z88" s="5"/>
      <c r="AA88" s="6"/>
      <c r="AB88" s="5"/>
      <c r="AC88" s="6"/>
      <c r="AD88" s="5"/>
      <c r="AE88" s="6"/>
      <c r="AF88" s="5"/>
      <c r="AG88" s="21"/>
      <c r="AH88" s="5"/>
      <c r="AI88" s="6"/>
      <c r="AJ88" s="5"/>
      <c r="AK88" s="6"/>
      <c r="AL88" s="5"/>
      <c r="AM88" s="21"/>
      <c r="AN88" s="5"/>
      <c r="AO88" s="6"/>
      <c r="AP88" s="5"/>
      <c r="AQ88" s="6"/>
      <c r="AR88" s="5"/>
      <c r="AS88" s="21"/>
      <c r="AT88" s="5"/>
      <c r="AU88" s="6"/>
      <c r="AV88" s="5"/>
      <c r="AW88" s="6"/>
      <c r="AX88" s="5"/>
      <c r="AY88" s="21"/>
      <c r="AZ88" s="6"/>
      <c r="BA88" s="6"/>
      <c r="BB88" s="6"/>
      <c r="BC88" s="7" t="str">
        <f t="shared" si="28"/>
        <v/>
      </c>
      <c r="BD88" s="7" t="str">
        <f t="shared" si="29"/>
        <v/>
      </c>
      <c r="BE88" s="4"/>
      <c r="BF88" s="16"/>
      <c r="BG88" s="16" t="str">
        <f t="shared" si="30"/>
        <v/>
      </c>
      <c r="BH88" s="16" t="str">
        <f t="shared" si="31"/>
        <v/>
      </c>
      <c r="BI88" s="16" t="str">
        <f t="shared" si="32"/>
        <v/>
      </c>
      <c r="BJ88" s="16" t="str">
        <f t="shared" si="33"/>
        <v/>
      </c>
      <c r="BK88" t="str">
        <f t="shared" si="34"/>
        <v/>
      </c>
      <c r="BL88" t="str">
        <f t="shared" si="35"/>
        <v/>
      </c>
      <c r="BM88" t="str">
        <f t="shared" si="36"/>
        <v/>
      </c>
      <c r="BN88" t="str">
        <f t="shared" si="37"/>
        <v/>
      </c>
      <c r="BO88" t="str">
        <f t="shared" si="38"/>
        <v/>
      </c>
      <c r="BP88" t="str">
        <f t="shared" si="39"/>
        <v/>
      </c>
      <c r="BQ88" t="str">
        <f t="shared" si="40"/>
        <v/>
      </c>
      <c r="BR88" t="str">
        <f t="shared" si="41"/>
        <v/>
      </c>
      <c r="BS88" t="str">
        <f t="shared" si="42"/>
        <v/>
      </c>
      <c r="BT88" t="str">
        <f t="shared" si="43"/>
        <v/>
      </c>
      <c r="BU88" t="str">
        <f t="shared" si="44"/>
        <v/>
      </c>
      <c r="BV88" t="str">
        <f t="shared" si="45"/>
        <v/>
      </c>
      <c r="BW88" t="str">
        <f t="shared" si="46"/>
        <v/>
      </c>
      <c r="BX88" t="str">
        <f t="shared" si="47"/>
        <v/>
      </c>
      <c r="BY88" t="str">
        <f t="shared" si="48"/>
        <v/>
      </c>
      <c r="BZ88" t="str">
        <f t="shared" si="49"/>
        <v/>
      </c>
      <c r="CA88" t="str">
        <f t="shared" si="50"/>
        <v/>
      </c>
      <c r="CB88" t="str">
        <f t="shared" si="51"/>
        <v/>
      </c>
      <c r="CC88" t="str">
        <f t="shared" si="52"/>
        <v/>
      </c>
      <c r="CD88" t="str">
        <f t="shared" si="53"/>
        <v/>
      </c>
    </row>
    <row r="89" spans="1:82" ht="33.6" customHeight="1" x14ac:dyDescent="0.3">
      <c r="A89" s="4"/>
      <c r="B89" s="4"/>
      <c r="C89" s="4"/>
      <c r="D89" s="5"/>
      <c r="E89" s="6"/>
      <c r="F89" s="5"/>
      <c r="G89" s="6"/>
      <c r="H89" s="5"/>
      <c r="I89" s="21"/>
      <c r="J89" s="5"/>
      <c r="K89" s="6"/>
      <c r="L89" s="5"/>
      <c r="M89" s="6"/>
      <c r="N89" s="5"/>
      <c r="O89" s="6"/>
      <c r="P89" s="5"/>
      <c r="Q89" s="6"/>
      <c r="R89" s="5"/>
      <c r="S89" s="6"/>
      <c r="T89" s="5"/>
      <c r="U89" s="21"/>
      <c r="V89" s="5"/>
      <c r="W89" s="6"/>
      <c r="X89" s="5"/>
      <c r="Y89" s="6"/>
      <c r="Z89" s="5"/>
      <c r="AA89" s="6"/>
      <c r="AB89" s="5"/>
      <c r="AC89" s="6"/>
      <c r="AD89" s="5"/>
      <c r="AE89" s="6"/>
      <c r="AF89" s="5"/>
      <c r="AG89" s="21"/>
      <c r="AH89" s="5"/>
      <c r="AI89" s="6"/>
      <c r="AJ89" s="5"/>
      <c r="AK89" s="6"/>
      <c r="AL89" s="5"/>
      <c r="AM89" s="21"/>
      <c r="AN89" s="5"/>
      <c r="AO89" s="6"/>
      <c r="AP89" s="5"/>
      <c r="AQ89" s="6"/>
      <c r="AR89" s="5"/>
      <c r="AS89" s="21"/>
      <c r="AT89" s="5"/>
      <c r="AU89" s="6"/>
      <c r="AV89" s="5"/>
      <c r="AW89" s="6"/>
      <c r="AX89" s="5"/>
      <c r="AY89" s="21"/>
      <c r="AZ89" s="6"/>
      <c r="BA89" s="6"/>
      <c r="BB89" s="6"/>
      <c r="BC89" s="7" t="str">
        <f t="shared" si="28"/>
        <v/>
      </c>
      <c r="BD89" s="7" t="str">
        <f t="shared" si="29"/>
        <v/>
      </c>
      <c r="BE89" s="4"/>
      <c r="BF89" s="16"/>
      <c r="BG89" s="16" t="str">
        <f t="shared" si="30"/>
        <v/>
      </c>
      <c r="BH89" s="16" t="str">
        <f t="shared" si="31"/>
        <v/>
      </c>
      <c r="BI89" s="16" t="str">
        <f t="shared" si="32"/>
        <v/>
      </c>
      <c r="BJ89" s="16" t="str">
        <f t="shared" si="33"/>
        <v/>
      </c>
      <c r="BK89" t="str">
        <f t="shared" si="34"/>
        <v/>
      </c>
      <c r="BL89" t="str">
        <f t="shared" si="35"/>
        <v/>
      </c>
      <c r="BM89" t="str">
        <f t="shared" si="36"/>
        <v/>
      </c>
      <c r="BN89" t="str">
        <f t="shared" si="37"/>
        <v/>
      </c>
      <c r="BO89" t="str">
        <f t="shared" si="38"/>
        <v/>
      </c>
      <c r="BP89" t="str">
        <f t="shared" si="39"/>
        <v/>
      </c>
      <c r="BQ89" t="str">
        <f t="shared" si="40"/>
        <v/>
      </c>
      <c r="BR89" t="str">
        <f t="shared" si="41"/>
        <v/>
      </c>
      <c r="BS89" t="str">
        <f t="shared" si="42"/>
        <v/>
      </c>
      <c r="BT89" t="str">
        <f t="shared" si="43"/>
        <v/>
      </c>
      <c r="BU89" t="str">
        <f t="shared" si="44"/>
        <v/>
      </c>
      <c r="BV89" t="str">
        <f t="shared" si="45"/>
        <v/>
      </c>
      <c r="BW89" t="str">
        <f t="shared" si="46"/>
        <v/>
      </c>
      <c r="BX89" t="str">
        <f t="shared" si="47"/>
        <v/>
      </c>
      <c r="BY89" t="str">
        <f t="shared" si="48"/>
        <v/>
      </c>
      <c r="BZ89" t="str">
        <f t="shared" si="49"/>
        <v/>
      </c>
      <c r="CA89" t="str">
        <f t="shared" si="50"/>
        <v/>
      </c>
      <c r="CB89" t="str">
        <f t="shared" si="51"/>
        <v/>
      </c>
      <c r="CC89" t="str">
        <f t="shared" si="52"/>
        <v/>
      </c>
      <c r="CD89" t="str">
        <f t="shared" si="53"/>
        <v/>
      </c>
    </row>
    <row r="90" spans="1:82" ht="33.6" customHeight="1" x14ac:dyDescent="0.3">
      <c r="A90" s="4"/>
      <c r="B90" s="4"/>
      <c r="C90" s="4"/>
      <c r="D90" s="5"/>
      <c r="E90" s="6"/>
      <c r="F90" s="5"/>
      <c r="G90" s="6"/>
      <c r="H90" s="5"/>
      <c r="I90" s="21"/>
      <c r="J90" s="5"/>
      <c r="K90" s="6"/>
      <c r="L90" s="5"/>
      <c r="M90" s="6"/>
      <c r="N90" s="5"/>
      <c r="O90" s="6"/>
      <c r="P90" s="5"/>
      <c r="Q90" s="6"/>
      <c r="R90" s="5"/>
      <c r="S90" s="6"/>
      <c r="T90" s="5"/>
      <c r="U90" s="21"/>
      <c r="V90" s="5"/>
      <c r="W90" s="6"/>
      <c r="X90" s="5"/>
      <c r="Y90" s="6"/>
      <c r="Z90" s="5"/>
      <c r="AA90" s="6"/>
      <c r="AB90" s="5"/>
      <c r="AC90" s="6"/>
      <c r="AD90" s="5"/>
      <c r="AE90" s="6"/>
      <c r="AF90" s="5"/>
      <c r="AG90" s="21"/>
      <c r="AH90" s="5"/>
      <c r="AI90" s="6"/>
      <c r="AJ90" s="5"/>
      <c r="AK90" s="6"/>
      <c r="AL90" s="5"/>
      <c r="AM90" s="21"/>
      <c r="AN90" s="5"/>
      <c r="AO90" s="6"/>
      <c r="AP90" s="5"/>
      <c r="AQ90" s="6"/>
      <c r="AR90" s="5"/>
      <c r="AS90" s="21"/>
      <c r="AT90" s="5"/>
      <c r="AU90" s="6"/>
      <c r="AV90" s="5"/>
      <c r="AW90" s="6"/>
      <c r="AX90" s="5"/>
      <c r="AY90" s="21"/>
      <c r="AZ90" s="6"/>
      <c r="BA90" s="6"/>
      <c r="BB90" s="6"/>
      <c r="BC90" s="7" t="str">
        <f t="shared" si="28"/>
        <v/>
      </c>
      <c r="BD90" s="7" t="str">
        <f t="shared" si="29"/>
        <v/>
      </c>
      <c r="BE90" s="4"/>
      <c r="BF90" s="16"/>
      <c r="BG90" s="16" t="str">
        <f t="shared" si="30"/>
        <v/>
      </c>
      <c r="BH90" s="16" t="str">
        <f t="shared" si="31"/>
        <v/>
      </c>
      <c r="BI90" s="16" t="str">
        <f t="shared" si="32"/>
        <v/>
      </c>
      <c r="BJ90" s="16" t="str">
        <f t="shared" si="33"/>
        <v/>
      </c>
      <c r="BK90" t="str">
        <f t="shared" si="34"/>
        <v/>
      </c>
      <c r="BL90" t="str">
        <f t="shared" si="35"/>
        <v/>
      </c>
      <c r="BM90" t="str">
        <f t="shared" si="36"/>
        <v/>
      </c>
      <c r="BN90" t="str">
        <f t="shared" si="37"/>
        <v/>
      </c>
      <c r="BO90" t="str">
        <f t="shared" si="38"/>
        <v/>
      </c>
      <c r="BP90" t="str">
        <f t="shared" si="39"/>
        <v/>
      </c>
      <c r="BQ90" t="str">
        <f t="shared" si="40"/>
        <v/>
      </c>
      <c r="BR90" t="str">
        <f t="shared" si="41"/>
        <v/>
      </c>
      <c r="BS90" t="str">
        <f t="shared" si="42"/>
        <v/>
      </c>
      <c r="BT90" t="str">
        <f t="shared" si="43"/>
        <v/>
      </c>
      <c r="BU90" t="str">
        <f t="shared" si="44"/>
        <v/>
      </c>
      <c r="BV90" t="str">
        <f t="shared" si="45"/>
        <v/>
      </c>
      <c r="BW90" t="str">
        <f t="shared" si="46"/>
        <v/>
      </c>
      <c r="BX90" t="str">
        <f t="shared" si="47"/>
        <v/>
      </c>
      <c r="BY90" t="str">
        <f t="shared" si="48"/>
        <v/>
      </c>
      <c r="BZ90" t="str">
        <f t="shared" si="49"/>
        <v/>
      </c>
      <c r="CA90" t="str">
        <f t="shared" si="50"/>
        <v/>
      </c>
      <c r="CB90" t="str">
        <f t="shared" si="51"/>
        <v/>
      </c>
      <c r="CC90" t="str">
        <f t="shared" si="52"/>
        <v/>
      </c>
      <c r="CD90" t="str">
        <f t="shared" si="53"/>
        <v/>
      </c>
    </row>
    <row r="91" spans="1:82" ht="33.6" customHeight="1" x14ac:dyDescent="0.3">
      <c r="A91" s="4"/>
      <c r="B91" s="4"/>
      <c r="C91" s="4"/>
      <c r="D91" s="5"/>
      <c r="E91" s="6"/>
      <c r="F91" s="5"/>
      <c r="G91" s="6"/>
      <c r="H91" s="5"/>
      <c r="I91" s="21"/>
      <c r="J91" s="5"/>
      <c r="K91" s="6"/>
      <c r="L91" s="5"/>
      <c r="M91" s="6"/>
      <c r="N91" s="5"/>
      <c r="O91" s="6"/>
      <c r="P91" s="5"/>
      <c r="Q91" s="6"/>
      <c r="R91" s="5"/>
      <c r="S91" s="6"/>
      <c r="T91" s="5"/>
      <c r="U91" s="21"/>
      <c r="V91" s="5"/>
      <c r="W91" s="6"/>
      <c r="X91" s="5"/>
      <c r="Y91" s="6"/>
      <c r="Z91" s="5"/>
      <c r="AA91" s="6"/>
      <c r="AB91" s="5"/>
      <c r="AC91" s="6"/>
      <c r="AD91" s="5"/>
      <c r="AE91" s="6"/>
      <c r="AF91" s="5"/>
      <c r="AG91" s="21"/>
      <c r="AH91" s="5"/>
      <c r="AI91" s="6"/>
      <c r="AJ91" s="5"/>
      <c r="AK91" s="6"/>
      <c r="AL91" s="5"/>
      <c r="AM91" s="21"/>
      <c r="AN91" s="5"/>
      <c r="AO91" s="6"/>
      <c r="AP91" s="5"/>
      <c r="AQ91" s="6"/>
      <c r="AR91" s="5"/>
      <c r="AS91" s="21"/>
      <c r="AT91" s="5"/>
      <c r="AU91" s="6"/>
      <c r="AV91" s="5"/>
      <c r="AW91" s="6"/>
      <c r="AX91" s="5"/>
      <c r="AY91" s="21"/>
      <c r="AZ91" s="6"/>
      <c r="BA91" s="6"/>
      <c r="BB91" s="6"/>
      <c r="BC91" s="7" t="str">
        <f t="shared" si="28"/>
        <v/>
      </c>
      <c r="BD91" s="7" t="str">
        <f t="shared" si="29"/>
        <v/>
      </c>
      <c r="BE91" s="4"/>
      <c r="BF91" s="16"/>
      <c r="BG91" s="16" t="str">
        <f t="shared" si="30"/>
        <v/>
      </c>
      <c r="BH91" s="16" t="str">
        <f t="shared" si="31"/>
        <v/>
      </c>
      <c r="BI91" s="16" t="str">
        <f t="shared" si="32"/>
        <v/>
      </c>
      <c r="BJ91" s="16" t="str">
        <f t="shared" si="33"/>
        <v/>
      </c>
      <c r="BK91" t="str">
        <f t="shared" si="34"/>
        <v/>
      </c>
      <c r="BL91" t="str">
        <f t="shared" si="35"/>
        <v/>
      </c>
      <c r="BM91" t="str">
        <f t="shared" si="36"/>
        <v/>
      </c>
      <c r="BN91" t="str">
        <f t="shared" si="37"/>
        <v/>
      </c>
      <c r="BO91" t="str">
        <f t="shared" si="38"/>
        <v/>
      </c>
      <c r="BP91" t="str">
        <f t="shared" si="39"/>
        <v/>
      </c>
      <c r="BQ91" t="str">
        <f t="shared" si="40"/>
        <v/>
      </c>
      <c r="BR91" t="str">
        <f t="shared" si="41"/>
        <v/>
      </c>
      <c r="BS91" t="str">
        <f t="shared" si="42"/>
        <v/>
      </c>
      <c r="BT91" t="str">
        <f t="shared" si="43"/>
        <v/>
      </c>
      <c r="BU91" t="str">
        <f t="shared" si="44"/>
        <v/>
      </c>
      <c r="BV91" t="str">
        <f t="shared" si="45"/>
        <v/>
      </c>
      <c r="BW91" t="str">
        <f t="shared" si="46"/>
        <v/>
      </c>
      <c r="BX91" t="str">
        <f t="shared" si="47"/>
        <v/>
      </c>
      <c r="BY91" t="str">
        <f t="shared" si="48"/>
        <v/>
      </c>
      <c r="BZ91" t="str">
        <f t="shared" si="49"/>
        <v/>
      </c>
      <c r="CA91" t="str">
        <f t="shared" si="50"/>
        <v/>
      </c>
      <c r="CB91" t="str">
        <f t="shared" si="51"/>
        <v/>
      </c>
      <c r="CC91" t="str">
        <f t="shared" si="52"/>
        <v/>
      </c>
      <c r="CD91" t="str">
        <f t="shared" si="53"/>
        <v/>
      </c>
    </row>
    <row r="92" spans="1:82" ht="33.6" customHeight="1" x14ac:dyDescent="0.3">
      <c r="A92" s="4"/>
      <c r="B92" s="4"/>
      <c r="C92" s="4"/>
      <c r="D92" s="5"/>
      <c r="E92" s="6"/>
      <c r="F92" s="5"/>
      <c r="G92" s="6"/>
      <c r="H92" s="5"/>
      <c r="I92" s="21"/>
      <c r="J92" s="5"/>
      <c r="K92" s="6"/>
      <c r="L92" s="5"/>
      <c r="M92" s="6"/>
      <c r="N92" s="5"/>
      <c r="O92" s="6"/>
      <c r="P92" s="5"/>
      <c r="Q92" s="6"/>
      <c r="R92" s="5"/>
      <c r="S92" s="6"/>
      <c r="T92" s="5"/>
      <c r="U92" s="21"/>
      <c r="V92" s="5"/>
      <c r="W92" s="6"/>
      <c r="X92" s="5"/>
      <c r="Y92" s="6"/>
      <c r="Z92" s="5"/>
      <c r="AA92" s="6"/>
      <c r="AB92" s="5"/>
      <c r="AC92" s="6"/>
      <c r="AD92" s="5"/>
      <c r="AE92" s="6"/>
      <c r="AF92" s="5"/>
      <c r="AG92" s="21"/>
      <c r="AH92" s="5"/>
      <c r="AI92" s="6"/>
      <c r="AJ92" s="5"/>
      <c r="AK92" s="6"/>
      <c r="AL92" s="5"/>
      <c r="AM92" s="21"/>
      <c r="AN92" s="5"/>
      <c r="AO92" s="6"/>
      <c r="AP92" s="5"/>
      <c r="AQ92" s="6"/>
      <c r="AR92" s="5"/>
      <c r="AS92" s="21"/>
      <c r="AT92" s="5"/>
      <c r="AU92" s="6"/>
      <c r="AV92" s="5"/>
      <c r="AW92" s="6"/>
      <c r="AX92" s="5"/>
      <c r="AY92" s="21"/>
      <c r="AZ92" s="6"/>
      <c r="BA92" s="6"/>
      <c r="BB92" s="6"/>
      <c r="BC92" s="7" t="str">
        <f t="shared" si="28"/>
        <v/>
      </c>
      <c r="BD92" s="7" t="str">
        <f t="shared" si="29"/>
        <v/>
      </c>
      <c r="BE92" s="4"/>
      <c r="BF92" s="16"/>
      <c r="BG92" s="16" t="str">
        <f t="shared" si="30"/>
        <v/>
      </c>
      <c r="BH92" s="16" t="str">
        <f t="shared" si="31"/>
        <v/>
      </c>
      <c r="BI92" s="16" t="str">
        <f t="shared" si="32"/>
        <v/>
      </c>
      <c r="BJ92" s="16" t="str">
        <f t="shared" si="33"/>
        <v/>
      </c>
      <c r="BK92" t="str">
        <f t="shared" si="34"/>
        <v/>
      </c>
      <c r="BL92" t="str">
        <f t="shared" si="35"/>
        <v/>
      </c>
      <c r="BM92" t="str">
        <f t="shared" si="36"/>
        <v/>
      </c>
      <c r="BN92" t="str">
        <f t="shared" si="37"/>
        <v/>
      </c>
      <c r="BO92" t="str">
        <f t="shared" si="38"/>
        <v/>
      </c>
      <c r="BP92" t="str">
        <f t="shared" si="39"/>
        <v/>
      </c>
      <c r="BQ92" t="str">
        <f t="shared" si="40"/>
        <v/>
      </c>
      <c r="BR92" t="str">
        <f t="shared" si="41"/>
        <v/>
      </c>
      <c r="BS92" t="str">
        <f t="shared" si="42"/>
        <v/>
      </c>
      <c r="BT92" t="str">
        <f t="shared" si="43"/>
        <v/>
      </c>
      <c r="BU92" t="str">
        <f t="shared" si="44"/>
        <v/>
      </c>
      <c r="BV92" t="str">
        <f t="shared" si="45"/>
        <v/>
      </c>
      <c r="BW92" t="str">
        <f t="shared" si="46"/>
        <v/>
      </c>
      <c r="BX92" t="str">
        <f t="shared" si="47"/>
        <v/>
      </c>
      <c r="BY92" t="str">
        <f t="shared" si="48"/>
        <v/>
      </c>
      <c r="BZ92" t="str">
        <f t="shared" si="49"/>
        <v/>
      </c>
      <c r="CA92" t="str">
        <f t="shared" si="50"/>
        <v/>
      </c>
      <c r="CB92" t="str">
        <f t="shared" si="51"/>
        <v/>
      </c>
      <c r="CC92" t="str">
        <f t="shared" si="52"/>
        <v/>
      </c>
      <c r="CD92" t="str">
        <f t="shared" si="53"/>
        <v/>
      </c>
    </row>
    <row r="93" spans="1:82" ht="33.6" customHeight="1" x14ac:dyDescent="0.3">
      <c r="A93" s="4"/>
      <c r="B93" s="4"/>
      <c r="C93" s="4"/>
      <c r="D93" s="5"/>
      <c r="E93" s="6"/>
      <c r="F93" s="5"/>
      <c r="G93" s="6"/>
      <c r="H93" s="5"/>
      <c r="I93" s="21"/>
      <c r="J93" s="5"/>
      <c r="K93" s="6"/>
      <c r="L93" s="5"/>
      <c r="M93" s="6"/>
      <c r="N93" s="5"/>
      <c r="O93" s="6"/>
      <c r="P93" s="5"/>
      <c r="Q93" s="6"/>
      <c r="R93" s="5"/>
      <c r="S93" s="6"/>
      <c r="T93" s="5"/>
      <c r="U93" s="21"/>
      <c r="V93" s="5"/>
      <c r="W93" s="6"/>
      <c r="X93" s="5"/>
      <c r="Y93" s="6"/>
      <c r="Z93" s="5"/>
      <c r="AA93" s="6"/>
      <c r="AB93" s="5"/>
      <c r="AC93" s="6"/>
      <c r="AD93" s="5"/>
      <c r="AE93" s="6"/>
      <c r="AF93" s="5"/>
      <c r="AG93" s="21"/>
      <c r="AH93" s="5"/>
      <c r="AI93" s="6"/>
      <c r="AJ93" s="5"/>
      <c r="AK93" s="6"/>
      <c r="AL93" s="5"/>
      <c r="AM93" s="21"/>
      <c r="AN93" s="5"/>
      <c r="AO93" s="6"/>
      <c r="AP93" s="5"/>
      <c r="AQ93" s="6"/>
      <c r="AR93" s="5"/>
      <c r="AS93" s="21"/>
      <c r="AT93" s="5"/>
      <c r="AU93" s="6"/>
      <c r="AV93" s="5"/>
      <c r="AW93" s="6"/>
      <c r="AX93" s="5"/>
      <c r="AY93" s="21"/>
      <c r="AZ93" s="6"/>
      <c r="BA93" s="6"/>
      <c r="BB93" s="6"/>
      <c r="BC93" s="7" t="str">
        <f t="shared" si="28"/>
        <v/>
      </c>
      <c r="BD93" s="7" t="str">
        <f t="shared" si="29"/>
        <v/>
      </c>
      <c r="BE93" s="4"/>
      <c r="BF93" s="16"/>
      <c r="BG93" s="16" t="str">
        <f t="shared" si="30"/>
        <v/>
      </c>
      <c r="BH93" s="16" t="str">
        <f t="shared" si="31"/>
        <v/>
      </c>
      <c r="BI93" s="16" t="str">
        <f t="shared" si="32"/>
        <v/>
      </c>
      <c r="BJ93" s="16" t="str">
        <f t="shared" si="33"/>
        <v/>
      </c>
      <c r="BK93" t="str">
        <f t="shared" si="34"/>
        <v/>
      </c>
      <c r="BL93" t="str">
        <f t="shared" si="35"/>
        <v/>
      </c>
      <c r="BM93" t="str">
        <f t="shared" si="36"/>
        <v/>
      </c>
      <c r="BN93" t="str">
        <f t="shared" si="37"/>
        <v/>
      </c>
      <c r="BO93" t="str">
        <f t="shared" si="38"/>
        <v/>
      </c>
      <c r="BP93" t="str">
        <f t="shared" si="39"/>
        <v/>
      </c>
      <c r="BQ93" t="str">
        <f t="shared" si="40"/>
        <v/>
      </c>
      <c r="BR93" t="str">
        <f t="shared" si="41"/>
        <v/>
      </c>
      <c r="BS93" t="str">
        <f t="shared" si="42"/>
        <v/>
      </c>
      <c r="BT93" t="str">
        <f t="shared" si="43"/>
        <v/>
      </c>
      <c r="BU93" t="str">
        <f t="shared" si="44"/>
        <v/>
      </c>
      <c r="BV93" t="str">
        <f t="shared" si="45"/>
        <v/>
      </c>
      <c r="BW93" t="str">
        <f t="shared" si="46"/>
        <v/>
      </c>
      <c r="BX93" t="str">
        <f t="shared" si="47"/>
        <v/>
      </c>
      <c r="BY93" t="str">
        <f t="shared" si="48"/>
        <v/>
      </c>
      <c r="BZ93" t="str">
        <f t="shared" si="49"/>
        <v/>
      </c>
      <c r="CA93" t="str">
        <f t="shared" si="50"/>
        <v/>
      </c>
      <c r="CB93" t="str">
        <f t="shared" si="51"/>
        <v/>
      </c>
      <c r="CC93" t="str">
        <f t="shared" si="52"/>
        <v/>
      </c>
      <c r="CD93" t="str">
        <f t="shared" si="53"/>
        <v/>
      </c>
    </row>
    <row r="94" spans="1:82" ht="33.6" customHeight="1" x14ac:dyDescent="0.3">
      <c r="A94" s="4"/>
      <c r="B94" s="4"/>
      <c r="C94" s="4"/>
      <c r="D94" s="5"/>
      <c r="E94" s="6"/>
      <c r="F94" s="5"/>
      <c r="G94" s="6"/>
      <c r="H94" s="5"/>
      <c r="I94" s="21"/>
      <c r="J94" s="5"/>
      <c r="K94" s="6"/>
      <c r="L94" s="5"/>
      <c r="M94" s="6"/>
      <c r="N94" s="5"/>
      <c r="O94" s="6"/>
      <c r="P94" s="5"/>
      <c r="Q94" s="6"/>
      <c r="R94" s="5"/>
      <c r="S94" s="6"/>
      <c r="T94" s="5"/>
      <c r="U94" s="21"/>
      <c r="V94" s="5"/>
      <c r="W94" s="6"/>
      <c r="X94" s="5"/>
      <c r="Y94" s="6"/>
      <c r="Z94" s="5"/>
      <c r="AA94" s="6"/>
      <c r="AB94" s="5"/>
      <c r="AC94" s="6"/>
      <c r="AD94" s="5"/>
      <c r="AE94" s="6"/>
      <c r="AF94" s="5"/>
      <c r="AG94" s="21"/>
      <c r="AH94" s="5"/>
      <c r="AI94" s="6"/>
      <c r="AJ94" s="5"/>
      <c r="AK94" s="6"/>
      <c r="AL94" s="5"/>
      <c r="AM94" s="21"/>
      <c r="AN94" s="5"/>
      <c r="AO94" s="6"/>
      <c r="AP94" s="5"/>
      <c r="AQ94" s="6"/>
      <c r="AR94" s="5"/>
      <c r="AS94" s="21"/>
      <c r="AT94" s="5"/>
      <c r="AU94" s="6"/>
      <c r="AV94" s="5"/>
      <c r="AW94" s="6"/>
      <c r="AX94" s="5"/>
      <c r="AY94" s="21"/>
      <c r="AZ94" s="6"/>
      <c r="BA94" s="6"/>
      <c r="BB94" s="6"/>
      <c r="BC94" s="7" t="str">
        <f t="shared" si="28"/>
        <v/>
      </c>
      <c r="BD94" s="7" t="str">
        <f t="shared" si="29"/>
        <v/>
      </c>
      <c r="BE94" s="4"/>
      <c r="BF94" s="16"/>
      <c r="BG94" s="16" t="str">
        <f t="shared" si="30"/>
        <v/>
      </c>
      <c r="BH94" s="16" t="str">
        <f t="shared" si="31"/>
        <v/>
      </c>
      <c r="BI94" s="16" t="str">
        <f t="shared" si="32"/>
        <v/>
      </c>
      <c r="BJ94" s="16" t="str">
        <f t="shared" si="33"/>
        <v/>
      </c>
      <c r="BK94" t="str">
        <f t="shared" si="34"/>
        <v/>
      </c>
      <c r="BL94" t="str">
        <f t="shared" si="35"/>
        <v/>
      </c>
      <c r="BM94" t="str">
        <f t="shared" si="36"/>
        <v/>
      </c>
      <c r="BN94" t="str">
        <f t="shared" si="37"/>
        <v/>
      </c>
      <c r="BO94" t="str">
        <f t="shared" si="38"/>
        <v/>
      </c>
      <c r="BP94" t="str">
        <f t="shared" si="39"/>
        <v/>
      </c>
      <c r="BQ94" t="str">
        <f t="shared" si="40"/>
        <v/>
      </c>
      <c r="BR94" t="str">
        <f t="shared" si="41"/>
        <v/>
      </c>
      <c r="BS94" t="str">
        <f t="shared" si="42"/>
        <v/>
      </c>
      <c r="BT94" t="str">
        <f t="shared" si="43"/>
        <v/>
      </c>
      <c r="BU94" t="str">
        <f t="shared" si="44"/>
        <v/>
      </c>
      <c r="BV94" t="str">
        <f t="shared" si="45"/>
        <v/>
      </c>
      <c r="BW94" t="str">
        <f t="shared" si="46"/>
        <v/>
      </c>
      <c r="BX94" t="str">
        <f t="shared" si="47"/>
        <v/>
      </c>
      <c r="BY94" t="str">
        <f t="shared" si="48"/>
        <v/>
      </c>
      <c r="BZ94" t="str">
        <f t="shared" si="49"/>
        <v/>
      </c>
      <c r="CA94" t="str">
        <f t="shared" si="50"/>
        <v/>
      </c>
      <c r="CB94" t="str">
        <f t="shared" si="51"/>
        <v/>
      </c>
      <c r="CC94" t="str">
        <f t="shared" si="52"/>
        <v/>
      </c>
      <c r="CD94" t="str">
        <f t="shared" si="53"/>
        <v/>
      </c>
    </row>
    <row r="95" spans="1:82" ht="33.6" customHeight="1" x14ac:dyDescent="0.3">
      <c r="A95" s="4"/>
      <c r="B95" s="4"/>
      <c r="C95" s="4"/>
      <c r="D95" s="5"/>
      <c r="E95" s="6"/>
      <c r="F95" s="5"/>
      <c r="G95" s="6"/>
      <c r="H95" s="5"/>
      <c r="I95" s="21"/>
      <c r="J95" s="5"/>
      <c r="K95" s="6"/>
      <c r="L95" s="5"/>
      <c r="M95" s="6"/>
      <c r="N95" s="5"/>
      <c r="O95" s="6"/>
      <c r="P95" s="5"/>
      <c r="Q95" s="6"/>
      <c r="R95" s="5"/>
      <c r="S95" s="6"/>
      <c r="T95" s="5"/>
      <c r="U95" s="21"/>
      <c r="V95" s="5"/>
      <c r="W95" s="6"/>
      <c r="X95" s="5"/>
      <c r="Y95" s="6"/>
      <c r="Z95" s="5"/>
      <c r="AA95" s="6"/>
      <c r="AB95" s="5"/>
      <c r="AC95" s="6"/>
      <c r="AD95" s="5"/>
      <c r="AE95" s="6"/>
      <c r="AF95" s="5"/>
      <c r="AG95" s="21"/>
      <c r="AH95" s="5"/>
      <c r="AI95" s="6"/>
      <c r="AJ95" s="5"/>
      <c r="AK95" s="6"/>
      <c r="AL95" s="5"/>
      <c r="AM95" s="21"/>
      <c r="AN95" s="5"/>
      <c r="AO95" s="6"/>
      <c r="AP95" s="5"/>
      <c r="AQ95" s="6"/>
      <c r="AR95" s="5"/>
      <c r="AS95" s="21"/>
      <c r="AT95" s="5"/>
      <c r="AU95" s="6"/>
      <c r="AV95" s="5"/>
      <c r="AW95" s="6"/>
      <c r="AX95" s="5"/>
      <c r="AY95" s="21"/>
      <c r="AZ95" s="6"/>
      <c r="BA95" s="6"/>
      <c r="BB95" s="6"/>
      <c r="BC95" s="7" t="str">
        <f t="shared" si="28"/>
        <v/>
      </c>
      <c r="BD95" s="7" t="str">
        <f t="shared" si="29"/>
        <v/>
      </c>
      <c r="BE95" s="4"/>
      <c r="BF95" s="16"/>
      <c r="BG95" s="16" t="str">
        <f t="shared" si="30"/>
        <v/>
      </c>
      <c r="BH95" s="16" t="str">
        <f t="shared" si="31"/>
        <v/>
      </c>
      <c r="BI95" s="16" t="str">
        <f t="shared" si="32"/>
        <v/>
      </c>
      <c r="BJ95" s="16" t="str">
        <f t="shared" si="33"/>
        <v/>
      </c>
      <c r="BK95" t="str">
        <f t="shared" si="34"/>
        <v/>
      </c>
      <c r="BL95" t="str">
        <f t="shared" si="35"/>
        <v/>
      </c>
      <c r="BM95" t="str">
        <f t="shared" si="36"/>
        <v/>
      </c>
      <c r="BN95" t="str">
        <f t="shared" si="37"/>
        <v/>
      </c>
      <c r="BO95" t="str">
        <f t="shared" si="38"/>
        <v/>
      </c>
      <c r="BP95" t="str">
        <f t="shared" si="39"/>
        <v/>
      </c>
      <c r="BQ95" t="str">
        <f t="shared" si="40"/>
        <v/>
      </c>
      <c r="BR95" t="str">
        <f t="shared" si="41"/>
        <v/>
      </c>
      <c r="BS95" t="str">
        <f t="shared" si="42"/>
        <v/>
      </c>
      <c r="BT95" t="str">
        <f t="shared" si="43"/>
        <v/>
      </c>
      <c r="BU95" t="str">
        <f t="shared" si="44"/>
        <v/>
      </c>
      <c r="BV95" t="str">
        <f t="shared" si="45"/>
        <v/>
      </c>
      <c r="BW95" t="str">
        <f t="shared" si="46"/>
        <v/>
      </c>
      <c r="BX95" t="str">
        <f t="shared" si="47"/>
        <v/>
      </c>
      <c r="BY95" t="str">
        <f t="shared" si="48"/>
        <v/>
      </c>
      <c r="BZ95" t="str">
        <f t="shared" si="49"/>
        <v/>
      </c>
      <c r="CA95" t="str">
        <f t="shared" si="50"/>
        <v/>
      </c>
      <c r="CB95" t="str">
        <f t="shared" si="51"/>
        <v/>
      </c>
      <c r="CC95" t="str">
        <f t="shared" si="52"/>
        <v/>
      </c>
      <c r="CD95" t="str">
        <f t="shared" si="53"/>
        <v/>
      </c>
    </row>
    <row r="96" spans="1:82" ht="33.6" customHeight="1" x14ac:dyDescent="0.3">
      <c r="A96" s="4"/>
      <c r="B96" s="4"/>
      <c r="C96" s="4"/>
      <c r="D96" s="5"/>
      <c r="E96" s="6"/>
      <c r="F96" s="5"/>
      <c r="G96" s="6"/>
      <c r="H96" s="5"/>
      <c r="I96" s="21"/>
      <c r="J96" s="5"/>
      <c r="K96" s="6"/>
      <c r="L96" s="5"/>
      <c r="M96" s="6"/>
      <c r="N96" s="5"/>
      <c r="O96" s="6"/>
      <c r="P96" s="5"/>
      <c r="Q96" s="6"/>
      <c r="R96" s="5"/>
      <c r="S96" s="6"/>
      <c r="T96" s="5"/>
      <c r="U96" s="21"/>
      <c r="V96" s="5"/>
      <c r="W96" s="6"/>
      <c r="X96" s="5"/>
      <c r="Y96" s="6"/>
      <c r="Z96" s="5"/>
      <c r="AA96" s="6"/>
      <c r="AB96" s="5"/>
      <c r="AC96" s="6"/>
      <c r="AD96" s="5"/>
      <c r="AE96" s="6"/>
      <c r="AF96" s="5"/>
      <c r="AG96" s="21"/>
      <c r="AH96" s="5"/>
      <c r="AI96" s="6"/>
      <c r="AJ96" s="5"/>
      <c r="AK96" s="6"/>
      <c r="AL96" s="5"/>
      <c r="AM96" s="21"/>
      <c r="AN96" s="5"/>
      <c r="AO96" s="6"/>
      <c r="AP96" s="5"/>
      <c r="AQ96" s="6"/>
      <c r="AR96" s="5"/>
      <c r="AS96" s="21"/>
      <c r="AT96" s="5"/>
      <c r="AU96" s="6"/>
      <c r="AV96" s="5"/>
      <c r="AW96" s="6"/>
      <c r="AX96" s="5"/>
      <c r="AY96" s="21"/>
      <c r="AZ96" s="6"/>
      <c r="BA96" s="6"/>
      <c r="BB96" s="6"/>
      <c r="BC96" s="7" t="str">
        <f t="shared" si="28"/>
        <v/>
      </c>
      <c r="BD96" s="7" t="str">
        <f t="shared" si="29"/>
        <v/>
      </c>
      <c r="BE96" s="4"/>
      <c r="BF96" s="16"/>
      <c r="BG96" s="16" t="str">
        <f t="shared" si="30"/>
        <v/>
      </c>
      <c r="BH96" s="16" t="str">
        <f t="shared" si="31"/>
        <v/>
      </c>
      <c r="BI96" s="16" t="str">
        <f t="shared" si="32"/>
        <v/>
      </c>
      <c r="BJ96" s="16" t="str">
        <f t="shared" si="33"/>
        <v/>
      </c>
      <c r="BK96" t="str">
        <f t="shared" si="34"/>
        <v/>
      </c>
      <c r="BL96" t="str">
        <f t="shared" si="35"/>
        <v/>
      </c>
      <c r="BM96" t="str">
        <f t="shared" si="36"/>
        <v/>
      </c>
      <c r="BN96" t="str">
        <f t="shared" si="37"/>
        <v/>
      </c>
      <c r="BO96" t="str">
        <f t="shared" si="38"/>
        <v/>
      </c>
      <c r="BP96" t="str">
        <f t="shared" si="39"/>
        <v/>
      </c>
      <c r="BQ96" t="str">
        <f t="shared" si="40"/>
        <v/>
      </c>
      <c r="BR96" t="str">
        <f t="shared" si="41"/>
        <v/>
      </c>
      <c r="BS96" t="str">
        <f t="shared" si="42"/>
        <v/>
      </c>
      <c r="BT96" t="str">
        <f t="shared" si="43"/>
        <v/>
      </c>
      <c r="BU96" t="str">
        <f t="shared" si="44"/>
        <v/>
      </c>
      <c r="BV96" t="str">
        <f t="shared" si="45"/>
        <v/>
      </c>
      <c r="BW96" t="str">
        <f t="shared" si="46"/>
        <v/>
      </c>
      <c r="BX96" t="str">
        <f t="shared" si="47"/>
        <v/>
      </c>
      <c r="BY96" t="str">
        <f t="shared" si="48"/>
        <v/>
      </c>
      <c r="BZ96" t="str">
        <f t="shared" si="49"/>
        <v/>
      </c>
      <c r="CA96" t="str">
        <f t="shared" si="50"/>
        <v/>
      </c>
      <c r="CB96" t="str">
        <f t="shared" si="51"/>
        <v/>
      </c>
      <c r="CC96" t="str">
        <f t="shared" si="52"/>
        <v/>
      </c>
      <c r="CD96" t="str">
        <f t="shared" si="53"/>
        <v/>
      </c>
    </row>
    <row r="97" spans="1:82" ht="33.6" customHeight="1" x14ac:dyDescent="0.3">
      <c r="A97" s="4"/>
      <c r="B97" s="4"/>
      <c r="C97" s="4"/>
      <c r="D97" s="5"/>
      <c r="E97" s="6"/>
      <c r="F97" s="5"/>
      <c r="G97" s="6"/>
      <c r="H97" s="5"/>
      <c r="I97" s="21"/>
      <c r="J97" s="5"/>
      <c r="K97" s="6"/>
      <c r="L97" s="5"/>
      <c r="M97" s="6"/>
      <c r="N97" s="5"/>
      <c r="O97" s="6"/>
      <c r="P97" s="5"/>
      <c r="Q97" s="6"/>
      <c r="R97" s="5"/>
      <c r="S97" s="6"/>
      <c r="T97" s="5"/>
      <c r="U97" s="21"/>
      <c r="V97" s="5"/>
      <c r="W97" s="6"/>
      <c r="X97" s="5"/>
      <c r="Y97" s="6"/>
      <c r="Z97" s="5"/>
      <c r="AA97" s="6"/>
      <c r="AB97" s="5"/>
      <c r="AC97" s="6"/>
      <c r="AD97" s="5"/>
      <c r="AE97" s="6"/>
      <c r="AF97" s="5"/>
      <c r="AG97" s="21"/>
      <c r="AH97" s="5"/>
      <c r="AI97" s="6"/>
      <c r="AJ97" s="5"/>
      <c r="AK97" s="6"/>
      <c r="AL97" s="5"/>
      <c r="AM97" s="21"/>
      <c r="AN97" s="5"/>
      <c r="AO97" s="6"/>
      <c r="AP97" s="5"/>
      <c r="AQ97" s="6"/>
      <c r="AR97" s="5"/>
      <c r="AS97" s="21"/>
      <c r="AT97" s="5"/>
      <c r="AU97" s="6"/>
      <c r="AV97" s="5"/>
      <c r="AW97" s="6"/>
      <c r="AX97" s="5"/>
      <c r="AY97" s="21"/>
      <c r="AZ97" s="6"/>
      <c r="BA97" s="6"/>
      <c r="BB97" s="6"/>
      <c r="BC97" s="7" t="str">
        <f t="shared" si="28"/>
        <v/>
      </c>
      <c r="BD97" s="7" t="str">
        <f t="shared" si="29"/>
        <v/>
      </c>
      <c r="BE97" s="4"/>
      <c r="BF97" s="16"/>
      <c r="BG97" s="16" t="str">
        <f t="shared" si="30"/>
        <v/>
      </c>
      <c r="BH97" s="16" t="str">
        <f t="shared" si="31"/>
        <v/>
      </c>
      <c r="BI97" s="16" t="str">
        <f t="shared" si="32"/>
        <v/>
      </c>
      <c r="BJ97" s="16" t="str">
        <f t="shared" si="33"/>
        <v/>
      </c>
      <c r="BK97" t="str">
        <f t="shared" si="34"/>
        <v/>
      </c>
      <c r="BL97" t="str">
        <f t="shared" si="35"/>
        <v/>
      </c>
      <c r="BM97" t="str">
        <f t="shared" si="36"/>
        <v/>
      </c>
      <c r="BN97" t="str">
        <f t="shared" si="37"/>
        <v/>
      </c>
      <c r="BO97" t="str">
        <f t="shared" si="38"/>
        <v/>
      </c>
      <c r="BP97" t="str">
        <f t="shared" si="39"/>
        <v/>
      </c>
      <c r="BQ97" t="str">
        <f t="shared" si="40"/>
        <v/>
      </c>
      <c r="BR97" t="str">
        <f t="shared" si="41"/>
        <v/>
      </c>
      <c r="BS97" t="str">
        <f t="shared" si="42"/>
        <v/>
      </c>
      <c r="BT97" t="str">
        <f t="shared" si="43"/>
        <v/>
      </c>
      <c r="BU97" t="str">
        <f t="shared" si="44"/>
        <v/>
      </c>
      <c r="BV97" t="str">
        <f t="shared" si="45"/>
        <v/>
      </c>
      <c r="BW97" t="str">
        <f t="shared" si="46"/>
        <v/>
      </c>
      <c r="BX97" t="str">
        <f t="shared" si="47"/>
        <v/>
      </c>
      <c r="BY97" t="str">
        <f t="shared" si="48"/>
        <v/>
      </c>
      <c r="BZ97" t="str">
        <f t="shared" si="49"/>
        <v/>
      </c>
      <c r="CA97" t="str">
        <f t="shared" si="50"/>
        <v/>
      </c>
      <c r="CB97" t="str">
        <f t="shared" si="51"/>
        <v/>
      </c>
      <c r="CC97" t="str">
        <f t="shared" si="52"/>
        <v/>
      </c>
      <c r="CD97" t="str">
        <f t="shared" si="53"/>
        <v/>
      </c>
    </row>
    <row r="98" spans="1:82" ht="33.6" customHeight="1" x14ac:dyDescent="0.3">
      <c r="A98" s="4"/>
      <c r="B98" s="4"/>
      <c r="C98" s="4"/>
      <c r="D98" s="5"/>
      <c r="E98" s="6"/>
      <c r="F98" s="5"/>
      <c r="G98" s="6"/>
      <c r="H98" s="5"/>
      <c r="I98" s="21"/>
      <c r="J98" s="5"/>
      <c r="K98" s="6"/>
      <c r="L98" s="5"/>
      <c r="M98" s="6"/>
      <c r="N98" s="5"/>
      <c r="O98" s="6"/>
      <c r="P98" s="5"/>
      <c r="Q98" s="6"/>
      <c r="R98" s="5"/>
      <c r="S98" s="6"/>
      <c r="T98" s="5"/>
      <c r="U98" s="21"/>
      <c r="V98" s="5"/>
      <c r="W98" s="6"/>
      <c r="X98" s="5"/>
      <c r="Y98" s="6"/>
      <c r="Z98" s="5"/>
      <c r="AA98" s="6"/>
      <c r="AB98" s="5"/>
      <c r="AC98" s="6"/>
      <c r="AD98" s="5"/>
      <c r="AE98" s="6"/>
      <c r="AF98" s="5"/>
      <c r="AG98" s="21"/>
      <c r="AH98" s="5"/>
      <c r="AI98" s="6"/>
      <c r="AJ98" s="5"/>
      <c r="AK98" s="6"/>
      <c r="AL98" s="5"/>
      <c r="AM98" s="21"/>
      <c r="AN98" s="5"/>
      <c r="AO98" s="6"/>
      <c r="AP98" s="5"/>
      <c r="AQ98" s="6"/>
      <c r="AR98" s="5"/>
      <c r="AS98" s="21"/>
      <c r="AT98" s="5"/>
      <c r="AU98" s="6"/>
      <c r="AV98" s="5"/>
      <c r="AW98" s="6"/>
      <c r="AX98" s="5"/>
      <c r="AY98" s="21"/>
      <c r="AZ98" s="6"/>
      <c r="BA98" s="6"/>
      <c r="BB98" s="6"/>
      <c r="BC98" s="7" t="str">
        <f t="shared" si="28"/>
        <v/>
      </c>
      <c r="BD98" s="7" t="str">
        <f t="shared" si="29"/>
        <v/>
      </c>
      <c r="BE98" s="4"/>
      <c r="BF98" s="16"/>
      <c r="BG98" s="16" t="str">
        <f t="shared" si="30"/>
        <v/>
      </c>
      <c r="BH98" s="16" t="str">
        <f t="shared" si="31"/>
        <v/>
      </c>
      <c r="BI98" s="16" t="str">
        <f t="shared" si="32"/>
        <v/>
      </c>
      <c r="BJ98" s="16" t="str">
        <f t="shared" si="33"/>
        <v/>
      </c>
      <c r="BK98" t="str">
        <f t="shared" si="34"/>
        <v/>
      </c>
      <c r="BL98" t="str">
        <f t="shared" si="35"/>
        <v/>
      </c>
      <c r="BM98" t="str">
        <f t="shared" si="36"/>
        <v/>
      </c>
      <c r="BN98" t="str">
        <f t="shared" si="37"/>
        <v/>
      </c>
      <c r="BO98" t="str">
        <f t="shared" si="38"/>
        <v/>
      </c>
      <c r="BP98" t="str">
        <f t="shared" si="39"/>
        <v/>
      </c>
      <c r="BQ98" t="str">
        <f t="shared" si="40"/>
        <v/>
      </c>
      <c r="BR98" t="str">
        <f t="shared" si="41"/>
        <v/>
      </c>
      <c r="BS98" t="str">
        <f t="shared" si="42"/>
        <v/>
      </c>
      <c r="BT98" t="str">
        <f t="shared" si="43"/>
        <v/>
      </c>
      <c r="BU98" t="str">
        <f t="shared" si="44"/>
        <v/>
      </c>
      <c r="BV98" t="str">
        <f t="shared" si="45"/>
        <v/>
      </c>
      <c r="BW98" t="str">
        <f t="shared" si="46"/>
        <v/>
      </c>
      <c r="BX98" t="str">
        <f t="shared" si="47"/>
        <v/>
      </c>
      <c r="BY98" t="str">
        <f t="shared" si="48"/>
        <v/>
      </c>
      <c r="BZ98" t="str">
        <f t="shared" si="49"/>
        <v/>
      </c>
      <c r="CA98" t="str">
        <f t="shared" si="50"/>
        <v/>
      </c>
      <c r="CB98" t="str">
        <f t="shared" si="51"/>
        <v/>
      </c>
      <c r="CC98" t="str">
        <f t="shared" si="52"/>
        <v/>
      </c>
      <c r="CD98" t="str">
        <f t="shared" si="53"/>
        <v/>
      </c>
    </row>
    <row r="99" spans="1:82" ht="33.6" customHeight="1" x14ac:dyDescent="0.3">
      <c r="A99" s="4"/>
      <c r="B99" s="4"/>
      <c r="C99" s="4"/>
      <c r="D99" s="5"/>
      <c r="E99" s="6"/>
      <c r="F99" s="5"/>
      <c r="G99" s="6"/>
      <c r="H99" s="5"/>
      <c r="I99" s="21"/>
      <c r="J99" s="5"/>
      <c r="K99" s="6"/>
      <c r="L99" s="5"/>
      <c r="M99" s="6"/>
      <c r="N99" s="5"/>
      <c r="O99" s="6"/>
      <c r="P99" s="5"/>
      <c r="Q99" s="6"/>
      <c r="R99" s="5"/>
      <c r="S99" s="6"/>
      <c r="T99" s="5"/>
      <c r="U99" s="21"/>
      <c r="V99" s="5"/>
      <c r="W99" s="6"/>
      <c r="X99" s="5"/>
      <c r="Y99" s="6"/>
      <c r="Z99" s="5"/>
      <c r="AA99" s="6"/>
      <c r="AB99" s="5"/>
      <c r="AC99" s="6"/>
      <c r="AD99" s="5"/>
      <c r="AE99" s="6"/>
      <c r="AF99" s="5"/>
      <c r="AG99" s="21"/>
      <c r="AH99" s="5"/>
      <c r="AI99" s="6"/>
      <c r="AJ99" s="5"/>
      <c r="AK99" s="6"/>
      <c r="AL99" s="5"/>
      <c r="AM99" s="21"/>
      <c r="AN99" s="5"/>
      <c r="AO99" s="6"/>
      <c r="AP99" s="5"/>
      <c r="AQ99" s="6"/>
      <c r="AR99" s="5"/>
      <c r="AS99" s="21"/>
      <c r="AT99" s="5"/>
      <c r="AU99" s="6"/>
      <c r="AV99" s="5"/>
      <c r="AW99" s="6"/>
      <c r="AX99" s="5"/>
      <c r="AY99" s="21"/>
      <c r="AZ99" s="6"/>
      <c r="BA99" s="6"/>
      <c r="BB99" s="6"/>
      <c r="BC99" s="7" t="str">
        <f t="shared" si="28"/>
        <v/>
      </c>
      <c r="BD99" s="7" t="str">
        <f t="shared" si="29"/>
        <v/>
      </c>
      <c r="BE99" s="4"/>
      <c r="BF99" s="16"/>
      <c r="BG99" s="16" t="str">
        <f t="shared" si="30"/>
        <v/>
      </c>
      <c r="BH99" s="16" t="str">
        <f t="shared" si="31"/>
        <v/>
      </c>
      <c r="BI99" s="16" t="str">
        <f t="shared" si="32"/>
        <v/>
      </c>
      <c r="BJ99" s="16" t="str">
        <f t="shared" si="33"/>
        <v/>
      </c>
      <c r="BK99" t="str">
        <f t="shared" si="34"/>
        <v/>
      </c>
      <c r="BL99" t="str">
        <f t="shared" si="35"/>
        <v/>
      </c>
      <c r="BM99" t="str">
        <f t="shared" si="36"/>
        <v/>
      </c>
      <c r="BN99" t="str">
        <f t="shared" si="37"/>
        <v/>
      </c>
      <c r="BO99" t="str">
        <f t="shared" si="38"/>
        <v/>
      </c>
      <c r="BP99" t="str">
        <f t="shared" si="39"/>
        <v/>
      </c>
      <c r="BQ99" t="str">
        <f t="shared" si="40"/>
        <v/>
      </c>
      <c r="BR99" t="str">
        <f t="shared" si="41"/>
        <v/>
      </c>
      <c r="BS99" t="str">
        <f t="shared" si="42"/>
        <v/>
      </c>
      <c r="BT99" t="str">
        <f t="shared" si="43"/>
        <v/>
      </c>
      <c r="BU99" t="str">
        <f t="shared" si="44"/>
        <v/>
      </c>
      <c r="BV99" t="str">
        <f t="shared" si="45"/>
        <v/>
      </c>
      <c r="BW99" t="str">
        <f t="shared" si="46"/>
        <v/>
      </c>
      <c r="BX99" t="str">
        <f t="shared" si="47"/>
        <v/>
      </c>
      <c r="BY99" t="str">
        <f t="shared" si="48"/>
        <v/>
      </c>
      <c r="BZ99" t="str">
        <f t="shared" si="49"/>
        <v/>
      </c>
      <c r="CA99" t="str">
        <f t="shared" si="50"/>
        <v/>
      </c>
      <c r="CB99" t="str">
        <f t="shared" si="51"/>
        <v/>
      </c>
      <c r="CC99" t="str">
        <f t="shared" si="52"/>
        <v/>
      </c>
      <c r="CD99" t="str">
        <f t="shared" si="53"/>
        <v/>
      </c>
    </row>
    <row r="100" spans="1:82" ht="33.6" customHeight="1" x14ac:dyDescent="0.3">
      <c r="A100" s="4"/>
      <c r="B100" s="4"/>
      <c r="C100" s="4"/>
      <c r="D100" s="5"/>
      <c r="E100" s="6"/>
      <c r="F100" s="5"/>
      <c r="G100" s="6"/>
      <c r="H100" s="5"/>
      <c r="I100" s="21"/>
      <c r="J100" s="5"/>
      <c r="K100" s="6"/>
      <c r="L100" s="5"/>
      <c r="M100" s="6"/>
      <c r="N100" s="5"/>
      <c r="O100" s="6"/>
      <c r="P100" s="5"/>
      <c r="Q100" s="6"/>
      <c r="R100" s="5"/>
      <c r="S100" s="6"/>
      <c r="T100" s="5"/>
      <c r="U100" s="21"/>
      <c r="V100" s="5"/>
      <c r="W100" s="6"/>
      <c r="X100" s="5"/>
      <c r="Y100" s="6"/>
      <c r="Z100" s="5"/>
      <c r="AA100" s="6"/>
      <c r="AB100" s="5"/>
      <c r="AC100" s="6"/>
      <c r="AD100" s="5"/>
      <c r="AE100" s="6"/>
      <c r="AF100" s="5"/>
      <c r="AG100" s="21"/>
      <c r="AH100" s="5"/>
      <c r="AI100" s="6"/>
      <c r="AJ100" s="5"/>
      <c r="AK100" s="6"/>
      <c r="AL100" s="5"/>
      <c r="AM100" s="21"/>
      <c r="AN100" s="5"/>
      <c r="AO100" s="6"/>
      <c r="AP100" s="5"/>
      <c r="AQ100" s="6"/>
      <c r="AR100" s="5"/>
      <c r="AS100" s="21"/>
      <c r="AT100" s="5"/>
      <c r="AU100" s="6"/>
      <c r="AV100" s="5"/>
      <c r="AW100" s="6"/>
      <c r="AX100" s="5"/>
      <c r="AY100" s="21"/>
      <c r="AZ100" s="6"/>
      <c r="BA100" s="6"/>
      <c r="BB100" s="6"/>
      <c r="BC100" s="7" t="str">
        <f t="shared" ref="BC100:BC131" si="54">IFERROR((COUNTIF(D100:AX100,"A")*4+COUNTIF(D100:AX100,"B")*3+COUNTIF(D100:AX100,"C")*2+COUNTIF(D100:AX100,"D")*1)/(COUNTIF(D100:AX100,"A")+COUNTIF(D100:AX100,"B")+COUNTIF(D100:AX100,"C")+COUNTIF(D100:AX100,"D"))*25,"")</f>
        <v/>
      </c>
      <c r="BD100" s="7" t="str">
        <f t="shared" ref="BD100:BD131" si="55">IF(BC100="","",IF(BC100&gt;=85,"A",IF(BC100&gt;=70,"B",IF(BC100&gt;=50,"C","D"))))</f>
        <v/>
      </c>
      <c r="BE100" s="4"/>
      <c r="BF100" s="16"/>
      <c r="BG100" s="16" t="str">
        <f t="shared" si="30"/>
        <v/>
      </c>
      <c r="BH100" s="16" t="str">
        <f t="shared" si="31"/>
        <v/>
      </c>
      <c r="BI100" s="16" t="str">
        <f t="shared" si="32"/>
        <v/>
      </c>
      <c r="BJ100" s="16" t="str">
        <f t="shared" si="33"/>
        <v/>
      </c>
      <c r="BK100" t="str">
        <f t="shared" si="34"/>
        <v/>
      </c>
      <c r="BL100" t="str">
        <f t="shared" si="35"/>
        <v/>
      </c>
      <c r="BM100" t="str">
        <f t="shared" si="36"/>
        <v/>
      </c>
      <c r="BN100" t="str">
        <f t="shared" si="37"/>
        <v/>
      </c>
      <c r="BO100" t="str">
        <f t="shared" si="38"/>
        <v/>
      </c>
      <c r="BP100" t="str">
        <f t="shared" si="39"/>
        <v/>
      </c>
      <c r="BQ100" t="str">
        <f t="shared" si="40"/>
        <v/>
      </c>
      <c r="BR100" t="str">
        <f t="shared" si="41"/>
        <v/>
      </c>
      <c r="BS100" t="str">
        <f t="shared" si="42"/>
        <v/>
      </c>
      <c r="BT100" t="str">
        <f t="shared" si="43"/>
        <v/>
      </c>
      <c r="BU100" t="str">
        <f t="shared" si="44"/>
        <v/>
      </c>
      <c r="BV100" t="str">
        <f t="shared" si="45"/>
        <v/>
      </c>
      <c r="BW100" t="str">
        <f t="shared" si="46"/>
        <v/>
      </c>
      <c r="BX100" t="str">
        <f t="shared" si="47"/>
        <v/>
      </c>
      <c r="BY100" t="str">
        <f t="shared" si="48"/>
        <v/>
      </c>
      <c r="BZ100" t="str">
        <f t="shared" si="49"/>
        <v/>
      </c>
      <c r="CA100" t="str">
        <f t="shared" si="50"/>
        <v/>
      </c>
      <c r="CB100" t="str">
        <f t="shared" si="51"/>
        <v/>
      </c>
      <c r="CC100" t="str">
        <f t="shared" si="52"/>
        <v/>
      </c>
      <c r="CD100" t="str">
        <f t="shared" si="53"/>
        <v/>
      </c>
    </row>
    <row r="101" spans="1:82" ht="33.6" customHeight="1" x14ac:dyDescent="0.3">
      <c r="A101" s="4"/>
      <c r="B101" s="4"/>
      <c r="C101" s="4"/>
      <c r="D101" s="5"/>
      <c r="E101" s="6"/>
      <c r="F101" s="5"/>
      <c r="G101" s="6"/>
      <c r="H101" s="5"/>
      <c r="I101" s="21"/>
      <c r="J101" s="5"/>
      <c r="K101" s="6"/>
      <c r="L101" s="5"/>
      <c r="M101" s="6"/>
      <c r="N101" s="5"/>
      <c r="O101" s="6"/>
      <c r="P101" s="5"/>
      <c r="Q101" s="6"/>
      <c r="R101" s="5"/>
      <c r="S101" s="6"/>
      <c r="T101" s="5"/>
      <c r="U101" s="21"/>
      <c r="V101" s="5"/>
      <c r="W101" s="6"/>
      <c r="X101" s="5"/>
      <c r="Y101" s="6"/>
      <c r="Z101" s="5"/>
      <c r="AA101" s="6"/>
      <c r="AB101" s="5"/>
      <c r="AC101" s="6"/>
      <c r="AD101" s="5"/>
      <c r="AE101" s="6"/>
      <c r="AF101" s="5"/>
      <c r="AG101" s="21"/>
      <c r="AH101" s="5"/>
      <c r="AI101" s="6"/>
      <c r="AJ101" s="5"/>
      <c r="AK101" s="6"/>
      <c r="AL101" s="5"/>
      <c r="AM101" s="21"/>
      <c r="AN101" s="5"/>
      <c r="AO101" s="6"/>
      <c r="AP101" s="5"/>
      <c r="AQ101" s="6"/>
      <c r="AR101" s="5"/>
      <c r="AS101" s="21"/>
      <c r="AT101" s="5"/>
      <c r="AU101" s="6"/>
      <c r="AV101" s="5"/>
      <c r="AW101" s="6"/>
      <c r="AX101" s="5"/>
      <c r="AY101" s="21"/>
      <c r="AZ101" s="6"/>
      <c r="BA101" s="6"/>
      <c r="BB101" s="6"/>
      <c r="BC101" s="7" t="str">
        <f t="shared" si="54"/>
        <v/>
      </c>
      <c r="BD101" s="7" t="str">
        <f t="shared" si="55"/>
        <v/>
      </c>
      <c r="BE101" s="4"/>
      <c r="BF101" s="16"/>
      <c r="BG101" s="16" t="str">
        <f t="shared" si="30"/>
        <v/>
      </c>
      <c r="BH101" s="16" t="str">
        <f t="shared" si="31"/>
        <v/>
      </c>
      <c r="BI101" s="16" t="str">
        <f t="shared" si="32"/>
        <v/>
      </c>
      <c r="BJ101" s="16" t="str">
        <f t="shared" si="33"/>
        <v/>
      </c>
      <c r="BK101" t="str">
        <f t="shared" si="34"/>
        <v/>
      </c>
      <c r="BL101" t="str">
        <f t="shared" si="35"/>
        <v/>
      </c>
      <c r="BM101" t="str">
        <f t="shared" si="36"/>
        <v/>
      </c>
      <c r="BN101" t="str">
        <f t="shared" si="37"/>
        <v/>
      </c>
      <c r="BO101" t="str">
        <f t="shared" si="38"/>
        <v/>
      </c>
      <c r="BP101" t="str">
        <f t="shared" si="39"/>
        <v/>
      </c>
      <c r="BQ101" t="str">
        <f t="shared" si="40"/>
        <v/>
      </c>
      <c r="BR101" t="str">
        <f t="shared" si="41"/>
        <v/>
      </c>
      <c r="BS101" t="str">
        <f t="shared" si="42"/>
        <v/>
      </c>
      <c r="BT101" t="str">
        <f t="shared" si="43"/>
        <v/>
      </c>
      <c r="BU101" t="str">
        <f t="shared" si="44"/>
        <v/>
      </c>
      <c r="BV101" t="str">
        <f t="shared" si="45"/>
        <v/>
      </c>
      <c r="BW101" t="str">
        <f t="shared" si="46"/>
        <v/>
      </c>
      <c r="BX101" t="str">
        <f t="shared" si="47"/>
        <v/>
      </c>
      <c r="BY101" t="str">
        <f t="shared" si="48"/>
        <v/>
      </c>
      <c r="BZ101" t="str">
        <f t="shared" si="49"/>
        <v/>
      </c>
      <c r="CA101" t="str">
        <f t="shared" si="50"/>
        <v/>
      </c>
      <c r="CB101" t="str">
        <f t="shared" si="51"/>
        <v/>
      </c>
      <c r="CC101" t="str">
        <f t="shared" si="52"/>
        <v/>
      </c>
      <c r="CD101" t="str">
        <f t="shared" si="53"/>
        <v/>
      </c>
    </row>
    <row r="102" spans="1:82" ht="33.6" customHeight="1" x14ac:dyDescent="0.3">
      <c r="A102" s="4"/>
      <c r="B102" s="4"/>
      <c r="C102" s="4"/>
      <c r="D102" s="5"/>
      <c r="E102" s="6"/>
      <c r="F102" s="5"/>
      <c r="G102" s="6"/>
      <c r="H102" s="5"/>
      <c r="I102" s="21"/>
      <c r="J102" s="5"/>
      <c r="K102" s="6"/>
      <c r="L102" s="5"/>
      <c r="M102" s="6"/>
      <c r="N102" s="5"/>
      <c r="O102" s="6"/>
      <c r="P102" s="5"/>
      <c r="Q102" s="6"/>
      <c r="R102" s="5"/>
      <c r="S102" s="6"/>
      <c r="T102" s="5"/>
      <c r="U102" s="21"/>
      <c r="V102" s="5"/>
      <c r="W102" s="6"/>
      <c r="X102" s="5"/>
      <c r="Y102" s="6"/>
      <c r="Z102" s="5"/>
      <c r="AA102" s="6"/>
      <c r="AB102" s="5"/>
      <c r="AC102" s="6"/>
      <c r="AD102" s="5"/>
      <c r="AE102" s="6"/>
      <c r="AF102" s="5"/>
      <c r="AG102" s="21"/>
      <c r="AH102" s="5"/>
      <c r="AI102" s="6"/>
      <c r="AJ102" s="5"/>
      <c r="AK102" s="6"/>
      <c r="AL102" s="5"/>
      <c r="AM102" s="21"/>
      <c r="AN102" s="5"/>
      <c r="AO102" s="6"/>
      <c r="AP102" s="5"/>
      <c r="AQ102" s="6"/>
      <c r="AR102" s="5"/>
      <c r="AS102" s="21"/>
      <c r="AT102" s="5"/>
      <c r="AU102" s="6"/>
      <c r="AV102" s="5"/>
      <c r="AW102" s="6"/>
      <c r="AX102" s="5"/>
      <c r="AY102" s="21"/>
      <c r="AZ102" s="6"/>
      <c r="BA102" s="6"/>
      <c r="BB102" s="6"/>
      <c r="BC102" s="7" t="str">
        <f t="shared" si="54"/>
        <v/>
      </c>
      <c r="BD102" s="7" t="str">
        <f t="shared" si="55"/>
        <v/>
      </c>
      <c r="BE102" s="4"/>
      <c r="BF102" s="16"/>
      <c r="BG102" s="16" t="str">
        <f t="shared" si="30"/>
        <v/>
      </c>
      <c r="BH102" s="16" t="str">
        <f t="shared" si="31"/>
        <v/>
      </c>
      <c r="BI102" s="16" t="str">
        <f t="shared" si="32"/>
        <v/>
      </c>
      <c r="BJ102" s="16" t="str">
        <f t="shared" si="33"/>
        <v/>
      </c>
      <c r="BK102" t="str">
        <f t="shared" si="34"/>
        <v/>
      </c>
      <c r="BL102" t="str">
        <f t="shared" si="35"/>
        <v/>
      </c>
      <c r="BM102" t="str">
        <f t="shared" si="36"/>
        <v/>
      </c>
      <c r="BN102" t="str">
        <f t="shared" si="37"/>
        <v/>
      </c>
      <c r="BO102" t="str">
        <f t="shared" si="38"/>
        <v/>
      </c>
      <c r="BP102" t="str">
        <f t="shared" si="39"/>
        <v/>
      </c>
      <c r="BQ102" t="str">
        <f t="shared" si="40"/>
        <v/>
      </c>
      <c r="BR102" t="str">
        <f t="shared" si="41"/>
        <v/>
      </c>
      <c r="BS102" t="str">
        <f t="shared" si="42"/>
        <v/>
      </c>
      <c r="BT102" t="str">
        <f t="shared" si="43"/>
        <v/>
      </c>
      <c r="BU102" t="str">
        <f t="shared" si="44"/>
        <v/>
      </c>
      <c r="BV102" t="str">
        <f t="shared" si="45"/>
        <v/>
      </c>
      <c r="BW102" t="str">
        <f t="shared" si="46"/>
        <v/>
      </c>
      <c r="BX102" t="str">
        <f t="shared" si="47"/>
        <v/>
      </c>
      <c r="BY102" t="str">
        <f t="shared" si="48"/>
        <v/>
      </c>
      <c r="BZ102" t="str">
        <f t="shared" si="49"/>
        <v/>
      </c>
      <c r="CA102" t="str">
        <f t="shared" si="50"/>
        <v/>
      </c>
      <c r="CB102" t="str">
        <f t="shared" si="51"/>
        <v/>
      </c>
      <c r="CC102" t="str">
        <f t="shared" si="52"/>
        <v/>
      </c>
      <c r="CD102" t="str">
        <f t="shared" si="53"/>
        <v/>
      </c>
    </row>
    <row r="103" spans="1:82" ht="33.6" customHeight="1" x14ac:dyDescent="0.3">
      <c r="A103" s="4"/>
      <c r="B103" s="4"/>
      <c r="C103" s="4"/>
      <c r="D103" s="5"/>
      <c r="E103" s="6"/>
      <c r="F103" s="5"/>
      <c r="G103" s="6"/>
      <c r="H103" s="5"/>
      <c r="I103" s="21"/>
      <c r="J103" s="5"/>
      <c r="K103" s="6"/>
      <c r="L103" s="5"/>
      <c r="M103" s="6"/>
      <c r="N103" s="5"/>
      <c r="O103" s="6"/>
      <c r="P103" s="5"/>
      <c r="Q103" s="6"/>
      <c r="R103" s="5"/>
      <c r="S103" s="6"/>
      <c r="T103" s="5"/>
      <c r="U103" s="21"/>
      <c r="V103" s="5"/>
      <c r="W103" s="6"/>
      <c r="X103" s="5"/>
      <c r="Y103" s="6"/>
      <c r="Z103" s="5"/>
      <c r="AA103" s="6"/>
      <c r="AB103" s="5"/>
      <c r="AC103" s="6"/>
      <c r="AD103" s="5"/>
      <c r="AE103" s="6"/>
      <c r="AF103" s="5"/>
      <c r="AG103" s="21"/>
      <c r="AH103" s="5"/>
      <c r="AI103" s="6"/>
      <c r="AJ103" s="5"/>
      <c r="AK103" s="6"/>
      <c r="AL103" s="5"/>
      <c r="AM103" s="21"/>
      <c r="AN103" s="5"/>
      <c r="AO103" s="6"/>
      <c r="AP103" s="5"/>
      <c r="AQ103" s="6"/>
      <c r="AR103" s="5"/>
      <c r="AS103" s="21"/>
      <c r="AT103" s="5"/>
      <c r="AU103" s="6"/>
      <c r="AV103" s="5"/>
      <c r="AW103" s="6"/>
      <c r="AX103" s="5"/>
      <c r="AY103" s="21"/>
      <c r="AZ103" s="6"/>
      <c r="BA103" s="6"/>
      <c r="BB103" s="6"/>
      <c r="BC103" s="7" t="str">
        <f t="shared" si="54"/>
        <v/>
      </c>
      <c r="BD103" s="7" t="str">
        <f t="shared" si="55"/>
        <v/>
      </c>
      <c r="BE103" s="4"/>
      <c r="BF103" s="16"/>
      <c r="BG103" s="16" t="str">
        <f t="shared" si="30"/>
        <v/>
      </c>
      <c r="BH103" s="16" t="str">
        <f t="shared" si="31"/>
        <v/>
      </c>
      <c r="BI103" s="16" t="str">
        <f t="shared" si="32"/>
        <v/>
      </c>
      <c r="BJ103" s="16" t="str">
        <f t="shared" si="33"/>
        <v/>
      </c>
      <c r="BK103" t="str">
        <f t="shared" si="34"/>
        <v/>
      </c>
      <c r="BL103" t="str">
        <f t="shared" si="35"/>
        <v/>
      </c>
      <c r="BM103" t="str">
        <f t="shared" si="36"/>
        <v/>
      </c>
      <c r="BN103" t="str">
        <f t="shared" si="37"/>
        <v/>
      </c>
      <c r="BO103" t="str">
        <f t="shared" si="38"/>
        <v/>
      </c>
      <c r="BP103" t="str">
        <f t="shared" si="39"/>
        <v/>
      </c>
      <c r="BQ103" t="str">
        <f t="shared" si="40"/>
        <v/>
      </c>
      <c r="BR103" t="str">
        <f t="shared" si="41"/>
        <v/>
      </c>
      <c r="BS103" t="str">
        <f t="shared" si="42"/>
        <v/>
      </c>
      <c r="BT103" t="str">
        <f t="shared" si="43"/>
        <v/>
      </c>
      <c r="BU103" t="str">
        <f t="shared" si="44"/>
        <v/>
      </c>
      <c r="BV103" t="str">
        <f t="shared" si="45"/>
        <v/>
      </c>
      <c r="BW103" t="str">
        <f t="shared" si="46"/>
        <v/>
      </c>
      <c r="BX103" t="str">
        <f t="shared" si="47"/>
        <v/>
      </c>
      <c r="BY103" t="str">
        <f t="shared" si="48"/>
        <v/>
      </c>
      <c r="BZ103" t="str">
        <f t="shared" si="49"/>
        <v/>
      </c>
      <c r="CA103" t="str">
        <f t="shared" si="50"/>
        <v/>
      </c>
      <c r="CB103" t="str">
        <f t="shared" si="51"/>
        <v/>
      </c>
      <c r="CC103" t="str">
        <f t="shared" si="52"/>
        <v/>
      </c>
      <c r="CD103" t="str">
        <f t="shared" si="53"/>
        <v/>
      </c>
    </row>
    <row r="104" spans="1:82" ht="33.6" customHeight="1" x14ac:dyDescent="0.3">
      <c r="A104" s="4"/>
      <c r="B104" s="4"/>
      <c r="C104" s="4"/>
      <c r="D104" s="5"/>
      <c r="E104" s="6"/>
      <c r="F104" s="5"/>
      <c r="G104" s="6"/>
      <c r="H104" s="5"/>
      <c r="I104" s="21"/>
      <c r="J104" s="5"/>
      <c r="K104" s="6"/>
      <c r="L104" s="5"/>
      <c r="M104" s="6"/>
      <c r="N104" s="5"/>
      <c r="O104" s="6"/>
      <c r="P104" s="5"/>
      <c r="Q104" s="6"/>
      <c r="R104" s="5"/>
      <c r="S104" s="6"/>
      <c r="T104" s="5"/>
      <c r="U104" s="21"/>
      <c r="V104" s="5"/>
      <c r="W104" s="6"/>
      <c r="X104" s="5"/>
      <c r="Y104" s="6"/>
      <c r="Z104" s="5"/>
      <c r="AA104" s="6"/>
      <c r="AB104" s="5"/>
      <c r="AC104" s="6"/>
      <c r="AD104" s="5"/>
      <c r="AE104" s="6"/>
      <c r="AF104" s="5"/>
      <c r="AG104" s="21"/>
      <c r="AH104" s="5"/>
      <c r="AI104" s="6"/>
      <c r="AJ104" s="5"/>
      <c r="AK104" s="6"/>
      <c r="AL104" s="5"/>
      <c r="AM104" s="21"/>
      <c r="AN104" s="5"/>
      <c r="AO104" s="6"/>
      <c r="AP104" s="5"/>
      <c r="AQ104" s="6"/>
      <c r="AR104" s="5"/>
      <c r="AS104" s="21"/>
      <c r="AT104" s="5"/>
      <c r="AU104" s="6"/>
      <c r="AV104" s="5"/>
      <c r="AW104" s="6"/>
      <c r="AX104" s="5"/>
      <c r="AY104" s="21"/>
      <c r="AZ104" s="6"/>
      <c r="BA104" s="6"/>
      <c r="BB104" s="6"/>
      <c r="BC104" s="7" t="str">
        <f t="shared" si="54"/>
        <v/>
      </c>
      <c r="BD104" s="7" t="str">
        <f t="shared" si="55"/>
        <v/>
      </c>
      <c r="BE104" s="4"/>
      <c r="BF104" s="16"/>
      <c r="BG104" s="16" t="str">
        <f t="shared" si="30"/>
        <v/>
      </c>
      <c r="BH104" s="16" t="str">
        <f t="shared" si="31"/>
        <v/>
      </c>
      <c r="BI104" s="16" t="str">
        <f t="shared" si="32"/>
        <v/>
      </c>
      <c r="BJ104" s="16" t="str">
        <f t="shared" si="33"/>
        <v/>
      </c>
      <c r="BK104" t="str">
        <f t="shared" si="34"/>
        <v/>
      </c>
      <c r="BL104" t="str">
        <f t="shared" si="35"/>
        <v/>
      </c>
      <c r="BM104" t="str">
        <f t="shared" si="36"/>
        <v/>
      </c>
      <c r="BN104" t="str">
        <f t="shared" si="37"/>
        <v/>
      </c>
      <c r="BO104" t="str">
        <f t="shared" si="38"/>
        <v/>
      </c>
      <c r="BP104" t="str">
        <f t="shared" si="39"/>
        <v/>
      </c>
      <c r="BQ104" t="str">
        <f t="shared" si="40"/>
        <v/>
      </c>
      <c r="BR104" t="str">
        <f t="shared" si="41"/>
        <v/>
      </c>
      <c r="BS104" t="str">
        <f t="shared" si="42"/>
        <v/>
      </c>
      <c r="BT104" t="str">
        <f t="shared" si="43"/>
        <v/>
      </c>
      <c r="BU104" t="str">
        <f t="shared" si="44"/>
        <v/>
      </c>
      <c r="BV104" t="str">
        <f t="shared" si="45"/>
        <v/>
      </c>
      <c r="BW104" t="str">
        <f t="shared" si="46"/>
        <v/>
      </c>
      <c r="BX104" t="str">
        <f t="shared" si="47"/>
        <v/>
      </c>
      <c r="BY104" t="str">
        <f t="shared" si="48"/>
        <v/>
      </c>
      <c r="BZ104" t="str">
        <f t="shared" si="49"/>
        <v/>
      </c>
      <c r="CA104" t="str">
        <f t="shared" si="50"/>
        <v/>
      </c>
      <c r="CB104" t="str">
        <f t="shared" si="51"/>
        <v/>
      </c>
      <c r="CC104" t="str">
        <f t="shared" si="52"/>
        <v/>
      </c>
      <c r="CD104" t="str">
        <f t="shared" si="53"/>
        <v/>
      </c>
    </row>
    <row r="105" spans="1:82" ht="33.6" customHeight="1" x14ac:dyDescent="0.3">
      <c r="A105" s="4"/>
      <c r="B105" s="4"/>
      <c r="C105" s="4"/>
      <c r="D105" s="5"/>
      <c r="E105" s="6"/>
      <c r="F105" s="5"/>
      <c r="G105" s="6"/>
      <c r="H105" s="5"/>
      <c r="I105" s="21"/>
      <c r="J105" s="5"/>
      <c r="K105" s="6"/>
      <c r="L105" s="5"/>
      <c r="M105" s="6"/>
      <c r="N105" s="5"/>
      <c r="O105" s="6"/>
      <c r="P105" s="5"/>
      <c r="Q105" s="6"/>
      <c r="R105" s="5"/>
      <c r="S105" s="6"/>
      <c r="T105" s="5"/>
      <c r="U105" s="21"/>
      <c r="V105" s="5"/>
      <c r="W105" s="6"/>
      <c r="X105" s="5"/>
      <c r="Y105" s="6"/>
      <c r="Z105" s="5"/>
      <c r="AA105" s="6"/>
      <c r="AB105" s="5"/>
      <c r="AC105" s="6"/>
      <c r="AD105" s="5"/>
      <c r="AE105" s="6"/>
      <c r="AF105" s="5"/>
      <c r="AG105" s="21"/>
      <c r="AH105" s="5"/>
      <c r="AI105" s="6"/>
      <c r="AJ105" s="5"/>
      <c r="AK105" s="6"/>
      <c r="AL105" s="5"/>
      <c r="AM105" s="21"/>
      <c r="AN105" s="5"/>
      <c r="AO105" s="6"/>
      <c r="AP105" s="5"/>
      <c r="AQ105" s="6"/>
      <c r="AR105" s="5"/>
      <c r="AS105" s="21"/>
      <c r="AT105" s="5"/>
      <c r="AU105" s="6"/>
      <c r="AV105" s="5"/>
      <c r="AW105" s="6"/>
      <c r="AX105" s="5"/>
      <c r="AY105" s="21"/>
      <c r="AZ105" s="6"/>
      <c r="BA105" s="6"/>
      <c r="BB105" s="6"/>
      <c r="BC105" s="7" t="str">
        <f t="shared" si="54"/>
        <v/>
      </c>
      <c r="BD105" s="7" t="str">
        <f t="shared" si="55"/>
        <v/>
      </c>
      <c r="BE105" s="4"/>
      <c r="BF105" s="16"/>
      <c r="BG105" s="16" t="str">
        <f t="shared" si="30"/>
        <v/>
      </c>
      <c r="BH105" s="16" t="str">
        <f t="shared" si="31"/>
        <v/>
      </c>
      <c r="BI105" s="16" t="str">
        <f t="shared" si="32"/>
        <v/>
      </c>
      <c r="BJ105" s="16" t="str">
        <f t="shared" si="33"/>
        <v/>
      </c>
      <c r="BK105" t="str">
        <f t="shared" si="34"/>
        <v/>
      </c>
      <c r="BL105" t="str">
        <f t="shared" si="35"/>
        <v/>
      </c>
      <c r="BM105" t="str">
        <f t="shared" si="36"/>
        <v/>
      </c>
      <c r="BN105" t="str">
        <f t="shared" si="37"/>
        <v/>
      </c>
      <c r="BO105" t="str">
        <f t="shared" si="38"/>
        <v/>
      </c>
      <c r="BP105" t="str">
        <f t="shared" si="39"/>
        <v/>
      </c>
      <c r="BQ105" t="str">
        <f t="shared" si="40"/>
        <v/>
      </c>
      <c r="BR105" t="str">
        <f t="shared" si="41"/>
        <v/>
      </c>
      <c r="BS105" t="str">
        <f t="shared" si="42"/>
        <v/>
      </c>
      <c r="BT105" t="str">
        <f t="shared" si="43"/>
        <v/>
      </c>
      <c r="BU105" t="str">
        <f t="shared" si="44"/>
        <v/>
      </c>
      <c r="BV105" t="str">
        <f t="shared" si="45"/>
        <v/>
      </c>
      <c r="BW105" t="str">
        <f t="shared" si="46"/>
        <v/>
      </c>
      <c r="BX105" t="str">
        <f t="shared" si="47"/>
        <v/>
      </c>
      <c r="BY105" t="str">
        <f t="shared" si="48"/>
        <v/>
      </c>
      <c r="BZ105" t="str">
        <f t="shared" si="49"/>
        <v/>
      </c>
      <c r="CA105" t="str">
        <f t="shared" si="50"/>
        <v/>
      </c>
      <c r="CB105" t="str">
        <f t="shared" si="51"/>
        <v/>
      </c>
      <c r="CC105" t="str">
        <f t="shared" si="52"/>
        <v/>
      </c>
      <c r="CD105" t="str">
        <f t="shared" si="53"/>
        <v/>
      </c>
    </row>
    <row r="106" spans="1:82" ht="33.6" customHeight="1" x14ac:dyDescent="0.3">
      <c r="A106" s="4"/>
      <c r="B106" s="4"/>
      <c r="C106" s="4"/>
      <c r="D106" s="5"/>
      <c r="E106" s="6"/>
      <c r="F106" s="5"/>
      <c r="G106" s="6"/>
      <c r="H106" s="5"/>
      <c r="I106" s="21"/>
      <c r="J106" s="5"/>
      <c r="K106" s="6"/>
      <c r="L106" s="5"/>
      <c r="M106" s="6"/>
      <c r="N106" s="5"/>
      <c r="O106" s="6"/>
      <c r="P106" s="5"/>
      <c r="Q106" s="6"/>
      <c r="R106" s="5"/>
      <c r="S106" s="6"/>
      <c r="T106" s="5"/>
      <c r="U106" s="21"/>
      <c r="V106" s="5"/>
      <c r="W106" s="6"/>
      <c r="X106" s="5"/>
      <c r="Y106" s="6"/>
      <c r="Z106" s="5"/>
      <c r="AA106" s="6"/>
      <c r="AB106" s="5"/>
      <c r="AC106" s="6"/>
      <c r="AD106" s="5"/>
      <c r="AE106" s="6"/>
      <c r="AF106" s="5"/>
      <c r="AG106" s="21"/>
      <c r="AH106" s="5"/>
      <c r="AI106" s="6"/>
      <c r="AJ106" s="5"/>
      <c r="AK106" s="6"/>
      <c r="AL106" s="5"/>
      <c r="AM106" s="21"/>
      <c r="AN106" s="5"/>
      <c r="AO106" s="6"/>
      <c r="AP106" s="5"/>
      <c r="AQ106" s="6"/>
      <c r="AR106" s="5"/>
      <c r="AS106" s="21"/>
      <c r="AT106" s="5"/>
      <c r="AU106" s="6"/>
      <c r="AV106" s="5"/>
      <c r="AW106" s="6"/>
      <c r="AX106" s="5"/>
      <c r="AY106" s="21"/>
      <c r="AZ106" s="6"/>
      <c r="BA106" s="6"/>
      <c r="BB106" s="6"/>
      <c r="BC106" s="7" t="str">
        <f t="shared" si="54"/>
        <v/>
      </c>
      <c r="BD106" s="7" t="str">
        <f t="shared" si="55"/>
        <v/>
      </c>
      <c r="BE106" s="4"/>
      <c r="BF106" s="16"/>
      <c r="BG106" s="16" t="str">
        <f t="shared" si="30"/>
        <v/>
      </c>
      <c r="BH106" s="16" t="str">
        <f t="shared" si="31"/>
        <v/>
      </c>
      <c r="BI106" s="16" t="str">
        <f t="shared" si="32"/>
        <v/>
      </c>
      <c r="BJ106" s="16" t="str">
        <f t="shared" si="33"/>
        <v/>
      </c>
      <c r="BK106" t="str">
        <f t="shared" si="34"/>
        <v/>
      </c>
      <c r="BL106" t="str">
        <f t="shared" si="35"/>
        <v/>
      </c>
      <c r="BM106" t="str">
        <f t="shared" si="36"/>
        <v/>
      </c>
      <c r="BN106" t="str">
        <f t="shared" si="37"/>
        <v/>
      </c>
      <c r="BO106" t="str">
        <f t="shared" si="38"/>
        <v/>
      </c>
      <c r="BP106" t="str">
        <f t="shared" si="39"/>
        <v/>
      </c>
      <c r="BQ106" t="str">
        <f t="shared" si="40"/>
        <v/>
      </c>
      <c r="BR106" t="str">
        <f t="shared" si="41"/>
        <v/>
      </c>
      <c r="BS106" t="str">
        <f t="shared" si="42"/>
        <v/>
      </c>
      <c r="BT106" t="str">
        <f t="shared" si="43"/>
        <v/>
      </c>
      <c r="BU106" t="str">
        <f t="shared" si="44"/>
        <v/>
      </c>
      <c r="BV106" t="str">
        <f t="shared" si="45"/>
        <v/>
      </c>
      <c r="BW106" t="str">
        <f t="shared" si="46"/>
        <v/>
      </c>
      <c r="BX106" t="str">
        <f t="shared" si="47"/>
        <v/>
      </c>
      <c r="BY106" t="str">
        <f t="shared" si="48"/>
        <v/>
      </c>
      <c r="BZ106" t="str">
        <f t="shared" si="49"/>
        <v/>
      </c>
      <c r="CA106" t="str">
        <f t="shared" si="50"/>
        <v/>
      </c>
      <c r="CB106" t="str">
        <f t="shared" si="51"/>
        <v/>
      </c>
      <c r="CC106" t="str">
        <f t="shared" si="52"/>
        <v/>
      </c>
      <c r="CD106" t="str">
        <f t="shared" si="53"/>
        <v/>
      </c>
    </row>
    <row r="107" spans="1:82" ht="33.6" customHeight="1" x14ac:dyDescent="0.3">
      <c r="A107" s="4"/>
      <c r="B107" s="4"/>
      <c r="C107" s="4"/>
      <c r="D107" s="5"/>
      <c r="E107" s="6"/>
      <c r="F107" s="5"/>
      <c r="G107" s="6"/>
      <c r="H107" s="5"/>
      <c r="I107" s="21"/>
      <c r="J107" s="5"/>
      <c r="K107" s="6"/>
      <c r="L107" s="5"/>
      <c r="M107" s="6"/>
      <c r="N107" s="5"/>
      <c r="O107" s="6"/>
      <c r="P107" s="5"/>
      <c r="Q107" s="6"/>
      <c r="R107" s="5"/>
      <c r="S107" s="6"/>
      <c r="T107" s="5"/>
      <c r="U107" s="21"/>
      <c r="V107" s="5"/>
      <c r="W107" s="6"/>
      <c r="X107" s="5"/>
      <c r="Y107" s="6"/>
      <c r="Z107" s="5"/>
      <c r="AA107" s="6"/>
      <c r="AB107" s="5"/>
      <c r="AC107" s="6"/>
      <c r="AD107" s="5"/>
      <c r="AE107" s="6"/>
      <c r="AF107" s="5"/>
      <c r="AG107" s="21"/>
      <c r="AH107" s="5"/>
      <c r="AI107" s="6"/>
      <c r="AJ107" s="5"/>
      <c r="AK107" s="6"/>
      <c r="AL107" s="5"/>
      <c r="AM107" s="21"/>
      <c r="AN107" s="5"/>
      <c r="AO107" s="6"/>
      <c r="AP107" s="5"/>
      <c r="AQ107" s="6"/>
      <c r="AR107" s="5"/>
      <c r="AS107" s="21"/>
      <c r="AT107" s="5"/>
      <c r="AU107" s="6"/>
      <c r="AV107" s="5"/>
      <c r="AW107" s="6"/>
      <c r="AX107" s="5"/>
      <c r="AY107" s="21"/>
      <c r="AZ107" s="6"/>
      <c r="BA107" s="6"/>
      <c r="BB107" s="6"/>
      <c r="BC107" s="7" t="str">
        <f t="shared" si="54"/>
        <v/>
      </c>
      <c r="BD107" s="7" t="str">
        <f t="shared" si="55"/>
        <v/>
      </c>
      <c r="BE107" s="4"/>
      <c r="BF107" s="16"/>
      <c r="BG107" s="16" t="str">
        <f t="shared" si="30"/>
        <v/>
      </c>
      <c r="BH107" s="16" t="str">
        <f t="shared" si="31"/>
        <v/>
      </c>
      <c r="BI107" s="16" t="str">
        <f t="shared" si="32"/>
        <v/>
      </c>
      <c r="BJ107" s="16" t="str">
        <f t="shared" si="33"/>
        <v/>
      </c>
      <c r="BK107" t="str">
        <f t="shared" si="34"/>
        <v/>
      </c>
      <c r="BL107" t="str">
        <f t="shared" si="35"/>
        <v/>
      </c>
      <c r="BM107" t="str">
        <f t="shared" si="36"/>
        <v/>
      </c>
      <c r="BN107" t="str">
        <f t="shared" si="37"/>
        <v/>
      </c>
      <c r="BO107" t="str">
        <f t="shared" si="38"/>
        <v/>
      </c>
      <c r="BP107" t="str">
        <f t="shared" si="39"/>
        <v/>
      </c>
      <c r="BQ107" t="str">
        <f t="shared" si="40"/>
        <v/>
      </c>
      <c r="BR107" t="str">
        <f t="shared" si="41"/>
        <v/>
      </c>
      <c r="BS107" t="str">
        <f t="shared" si="42"/>
        <v/>
      </c>
      <c r="BT107" t="str">
        <f t="shared" si="43"/>
        <v/>
      </c>
      <c r="BU107" t="str">
        <f t="shared" si="44"/>
        <v/>
      </c>
      <c r="BV107" t="str">
        <f t="shared" si="45"/>
        <v/>
      </c>
      <c r="BW107" t="str">
        <f t="shared" si="46"/>
        <v/>
      </c>
      <c r="BX107" t="str">
        <f t="shared" si="47"/>
        <v/>
      </c>
      <c r="BY107" t="str">
        <f t="shared" si="48"/>
        <v/>
      </c>
      <c r="BZ107" t="str">
        <f t="shared" si="49"/>
        <v/>
      </c>
      <c r="CA107" t="str">
        <f t="shared" si="50"/>
        <v/>
      </c>
      <c r="CB107" t="str">
        <f t="shared" si="51"/>
        <v/>
      </c>
      <c r="CC107" t="str">
        <f t="shared" si="52"/>
        <v/>
      </c>
      <c r="CD107" t="str">
        <f t="shared" si="53"/>
        <v/>
      </c>
    </row>
    <row r="108" spans="1:82" ht="33.6" customHeight="1" x14ac:dyDescent="0.3">
      <c r="A108" s="4"/>
      <c r="B108" s="4"/>
      <c r="C108" s="4"/>
      <c r="D108" s="5"/>
      <c r="E108" s="6"/>
      <c r="F108" s="5"/>
      <c r="G108" s="6"/>
      <c r="H108" s="5"/>
      <c r="I108" s="21"/>
      <c r="J108" s="5"/>
      <c r="K108" s="6"/>
      <c r="L108" s="5"/>
      <c r="M108" s="6"/>
      <c r="N108" s="5"/>
      <c r="O108" s="6"/>
      <c r="P108" s="5"/>
      <c r="Q108" s="6"/>
      <c r="R108" s="5"/>
      <c r="S108" s="6"/>
      <c r="T108" s="5"/>
      <c r="U108" s="21"/>
      <c r="V108" s="5"/>
      <c r="W108" s="6"/>
      <c r="X108" s="5"/>
      <c r="Y108" s="6"/>
      <c r="Z108" s="5"/>
      <c r="AA108" s="6"/>
      <c r="AB108" s="5"/>
      <c r="AC108" s="6"/>
      <c r="AD108" s="5"/>
      <c r="AE108" s="6"/>
      <c r="AF108" s="5"/>
      <c r="AG108" s="21"/>
      <c r="AH108" s="5"/>
      <c r="AI108" s="6"/>
      <c r="AJ108" s="5"/>
      <c r="AK108" s="6"/>
      <c r="AL108" s="5"/>
      <c r="AM108" s="21"/>
      <c r="AN108" s="5"/>
      <c r="AO108" s="6"/>
      <c r="AP108" s="5"/>
      <c r="AQ108" s="6"/>
      <c r="AR108" s="5"/>
      <c r="AS108" s="21"/>
      <c r="AT108" s="5"/>
      <c r="AU108" s="6"/>
      <c r="AV108" s="5"/>
      <c r="AW108" s="6"/>
      <c r="AX108" s="5"/>
      <c r="AY108" s="21"/>
      <c r="AZ108" s="6"/>
      <c r="BA108" s="6"/>
      <c r="BB108" s="6"/>
      <c r="BC108" s="7" t="str">
        <f t="shared" si="54"/>
        <v/>
      </c>
      <c r="BD108" s="7" t="str">
        <f t="shared" si="55"/>
        <v/>
      </c>
      <c r="BE108" s="4"/>
      <c r="BF108" s="16"/>
      <c r="BG108" s="16" t="str">
        <f t="shared" si="30"/>
        <v/>
      </c>
      <c r="BH108" s="16" t="str">
        <f t="shared" si="31"/>
        <v/>
      </c>
      <c r="BI108" s="16" t="str">
        <f t="shared" si="32"/>
        <v/>
      </c>
      <c r="BJ108" s="16" t="str">
        <f t="shared" si="33"/>
        <v/>
      </c>
      <c r="BK108" t="str">
        <f t="shared" si="34"/>
        <v/>
      </c>
      <c r="BL108" t="str">
        <f t="shared" si="35"/>
        <v/>
      </c>
      <c r="BM108" t="str">
        <f t="shared" si="36"/>
        <v/>
      </c>
      <c r="BN108" t="str">
        <f t="shared" si="37"/>
        <v/>
      </c>
      <c r="BO108" t="str">
        <f t="shared" si="38"/>
        <v/>
      </c>
      <c r="BP108" t="str">
        <f t="shared" si="39"/>
        <v/>
      </c>
      <c r="BQ108" t="str">
        <f t="shared" si="40"/>
        <v/>
      </c>
      <c r="BR108" t="str">
        <f t="shared" si="41"/>
        <v/>
      </c>
      <c r="BS108" t="str">
        <f t="shared" si="42"/>
        <v/>
      </c>
      <c r="BT108" t="str">
        <f t="shared" si="43"/>
        <v/>
      </c>
      <c r="BU108" t="str">
        <f t="shared" si="44"/>
        <v/>
      </c>
      <c r="BV108" t="str">
        <f t="shared" si="45"/>
        <v/>
      </c>
      <c r="BW108" t="str">
        <f t="shared" si="46"/>
        <v/>
      </c>
      <c r="BX108" t="str">
        <f t="shared" si="47"/>
        <v/>
      </c>
      <c r="BY108" t="str">
        <f t="shared" si="48"/>
        <v/>
      </c>
      <c r="BZ108" t="str">
        <f t="shared" si="49"/>
        <v/>
      </c>
      <c r="CA108" t="str">
        <f t="shared" si="50"/>
        <v/>
      </c>
      <c r="CB108" t="str">
        <f t="shared" si="51"/>
        <v/>
      </c>
      <c r="CC108" t="str">
        <f t="shared" si="52"/>
        <v/>
      </c>
      <c r="CD108" t="str">
        <f t="shared" si="53"/>
        <v/>
      </c>
    </row>
    <row r="109" spans="1:82" ht="33.6" customHeight="1" x14ac:dyDescent="0.3">
      <c r="A109" s="4"/>
      <c r="B109" s="4"/>
      <c r="C109" s="4"/>
      <c r="D109" s="5"/>
      <c r="E109" s="6"/>
      <c r="F109" s="5"/>
      <c r="G109" s="6"/>
      <c r="H109" s="5"/>
      <c r="I109" s="21"/>
      <c r="J109" s="5"/>
      <c r="K109" s="6"/>
      <c r="L109" s="5"/>
      <c r="M109" s="6"/>
      <c r="N109" s="5"/>
      <c r="O109" s="6"/>
      <c r="P109" s="5"/>
      <c r="Q109" s="6"/>
      <c r="R109" s="5"/>
      <c r="S109" s="6"/>
      <c r="T109" s="5"/>
      <c r="U109" s="21"/>
      <c r="V109" s="5"/>
      <c r="W109" s="6"/>
      <c r="X109" s="5"/>
      <c r="Y109" s="6"/>
      <c r="Z109" s="5"/>
      <c r="AA109" s="6"/>
      <c r="AB109" s="5"/>
      <c r="AC109" s="6"/>
      <c r="AD109" s="5"/>
      <c r="AE109" s="6"/>
      <c r="AF109" s="5"/>
      <c r="AG109" s="21"/>
      <c r="AH109" s="5"/>
      <c r="AI109" s="6"/>
      <c r="AJ109" s="5"/>
      <c r="AK109" s="6"/>
      <c r="AL109" s="5"/>
      <c r="AM109" s="21"/>
      <c r="AN109" s="5"/>
      <c r="AO109" s="6"/>
      <c r="AP109" s="5"/>
      <c r="AQ109" s="6"/>
      <c r="AR109" s="5"/>
      <c r="AS109" s="21"/>
      <c r="AT109" s="5"/>
      <c r="AU109" s="6"/>
      <c r="AV109" s="5"/>
      <c r="AW109" s="6"/>
      <c r="AX109" s="5"/>
      <c r="AY109" s="21"/>
      <c r="AZ109" s="6"/>
      <c r="BA109" s="6"/>
      <c r="BB109" s="6"/>
      <c r="BC109" s="7" t="str">
        <f t="shared" si="54"/>
        <v/>
      </c>
      <c r="BD109" s="7" t="str">
        <f t="shared" si="55"/>
        <v/>
      </c>
      <c r="BE109" s="4"/>
      <c r="BF109" s="16"/>
      <c r="BG109" s="16" t="str">
        <f t="shared" si="30"/>
        <v/>
      </c>
      <c r="BH109" s="16" t="str">
        <f t="shared" si="31"/>
        <v/>
      </c>
      <c r="BI109" s="16" t="str">
        <f t="shared" si="32"/>
        <v/>
      </c>
      <c r="BJ109" s="16" t="str">
        <f t="shared" si="33"/>
        <v/>
      </c>
      <c r="BK109" t="str">
        <f t="shared" si="34"/>
        <v/>
      </c>
      <c r="BL109" t="str">
        <f t="shared" si="35"/>
        <v/>
      </c>
      <c r="BM109" t="str">
        <f t="shared" si="36"/>
        <v/>
      </c>
      <c r="BN109" t="str">
        <f t="shared" si="37"/>
        <v/>
      </c>
      <c r="BO109" t="str">
        <f t="shared" si="38"/>
        <v/>
      </c>
      <c r="BP109" t="str">
        <f t="shared" si="39"/>
        <v/>
      </c>
      <c r="BQ109" t="str">
        <f t="shared" si="40"/>
        <v/>
      </c>
      <c r="BR109" t="str">
        <f t="shared" si="41"/>
        <v/>
      </c>
      <c r="BS109" t="str">
        <f t="shared" si="42"/>
        <v/>
      </c>
      <c r="BT109" t="str">
        <f t="shared" si="43"/>
        <v/>
      </c>
      <c r="BU109" t="str">
        <f t="shared" si="44"/>
        <v/>
      </c>
      <c r="BV109" t="str">
        <f t="shared" si="45"/>
        <v/>
      </c>
      <c r="BW109" t="str">
        <f t="shared" si="46"/>
        <v/>
      </c>
      <c r="BX109" t="str">
        <f t="shared" si="47"/>
        <v/>
      </c>
      <c r="BY109" t="str">
        <f t="shared" si="48"/>
        <v/>
      </c>
      <c r="BZ109" t="str">
        <f t="shared" si="49"/>
        <v/>
      </c>
      <c r="CA109" t="str">
        <f t="shared" si="50"/>
        <v/>
      </c>
      <c r="CB109" t="str">
        <f t="shared" si="51"/>
        <v/>
      </c>
      <c r="CC109" t="str">
        <f t="shared" si="52"/>
        <v/>
      </c>
      <c r="CD109" t="str">
        <f t="shared" si="53"/>
        <v/>
      </c>
    </row>
    <row r="110" spans="1:82" ht="33.6" customHeight="1" x14ac:dyDescent="0.3">
      <c r="A110" s="4"/>
      <c r="B110" s="4"/>
      <c r="C110" s="4"/>
      <c r="D110" s="5"/>
      <c r="E110" s="6"/>
      <c r="F110" s="5"/>
      <c r="G110" s="6"/>
      <c r="H110" s="5"/>
      <c r="I110" s="21"/>
      <c r="J110" s="5"/>
      <c r="K110" s="6"/>
      <c r="L110" s="5"/>
      <c r="M110" s="6"/>
      <c r="N110" s="5"/>
      <c r="O110" s="6"/>
      <c r="P110" s="5"/>
      <c r="Q110" s="6"/>
      <c r="R110" s="5"/>
      <c r="S110" s="6"/>
      <c r="T110" s="5"/>
      <c r="U110" s="21"/>
      <c r="V110" s="5"/>
      <c r="W110" s="6"/>
      <c r="X110" s="5"/>
      <c r="Y110" s="6"/>
      <c r="Z110" s="5"/>
      <c r="AA110" s="6"/>
      <c r="AB110" s="5"/>
      <c r="AC110" s="6"/>
      <c r="AD110" s="5"/>
      <c r="AE110" s="6"/>
      <c r="AF110" s="5"/>
      <c r="AG110" s="21"/>
      <c r="AH110" s="5"/>
      <c r="AI110" s="6"/>
      <c r="AJ110" s="5"/>
      <c r="AK110" s="6"/>
      <c r="AL110" s="5"/>
      <c r="AM110" s="21"/>
      <c r="AN110" s="5"/>
      <c r="AO110" s="6"/>
      <c r="AP110" s="5"/>
      <c r="AQ110" s="6"/>
      <c r="AR110" s="5"/>
      <c r="AS110" s="21"/>
      <c r="AT110" s="5"/>
      <c r="AU110" s="6"/>
      <c r="AV110" s="5"/>
      <c r="AW110" s="6"/>
      <c r="AX110" s="5"/>
      <c r="AY110" s="21"/>
      <c r="AZ110" s="6"/>
      <c r="BA110" s="6"/>
      <c r="BB110" s="6"/>
      <c r="BC110" s="7" t="str">
        <f t="shared" si="54"/>
        <v/>
      </c>
      <c r="BD110" s="7" t="str">
        <f t="shared" si="55"/>
        <v/>
      </c>
      <c r="BE110" s="4"/>
      <c r="BF110" s="16"/>
      <c r="BG110" s="16" t="str">
        <f t="shared" si="30"/>
        <v/>
      </c>
      <c r="BH110" s="16" t="str">
        <f t="shared" si="31"/>
        <v/>
      </c>
      <c r="BI110" s="16" t="str">
        <f t="shared" si="32"/>
        <v/>
      </c>
      <c r="BJ110" s="16" t="str">
        <f t="shared" si="33"/>
        <v/>
      </c>
      <c r="BK110" t="str">
        <f t="shared" si="34"/>
        <v/>
      </c>
      <c r="BL110" t="str">
        <f t="shared" si="35"/>
        <v/>
      </c>
      <c r="BM110" t="str">
        <f t="shared" si="36"/>
        <v/>
      </c>
      <c r="BN110" t="str">
        <f t="shared" si="37"/>
        <v/>
      </c>
      <c r="BO110" t="str">
        <f t="shared" si="38"/>
        <v/>
      </c>
      <c r="BP110" t="str">
        <f t="shared" si="39"/>
        <v/>
      </c>
      <c r="BQ110" t="str">
        <f t="shared" si="40"/>
        <v/>
      </c>
      <c r="BR110" t="str">
        <f t="shared" si="41"/>
        <v/>
      </c>
      <c r="BS110" t="str">
        <f t="shared" si="42"/>
        <v/>
      </c>
      <c r="BT110" t="str">
        <f t="shared" si="43"/>
        <v/>
      </c>
      <c r="BU110" t="str">
        <f t="shared" si="44"/>
        <v/>
      </c>
      <c r="BV110" t="str">
        <f t="shared" si="45"/>
        <v/>
      </c>
      <c r="BW110" t="str">
        <f t="shared" si="46"/>
        <v/>
      </c>
      <c r="BX110" t="str">
        <f t="shared" si="47"/>
        <v/>
      </c>
      <c r="BY110" t="str">
        <f t="shared" si="48"/>
        <v/>
      </c>
      <c r="BZ110" t="str">
        <f t="shared" si="49"/>
        <v/>
      </c>
      <c r="CA110" t="str">
        <f t="shared" si="50"/>
        <v/>
      </c>
      <c r="CB110" t="str">
        <f t="shared" si="51"/>
        <v/>
      </c>
      <c r="CC110" t="str">
        <f t="shared" si="52"/>
        <v/>
      </c>
      <c r="CD110" t="str">
        <f t="shared" si="53"/>
        <v/>
      </c>
    </row>
    <row r="111" spans="1:82" ht="33.6" customHeight="1" x14ac:dyDescent="0.3">
      <c r="A111" s="4"/>
      <c r="B111" s="4"/>
      <c r="C111" s="4"/>
      <c r="D111" s="5"/>
      <c r="E111" s="6"/>
      <c r="F111" s="5"/>
      <c r="G111" s="6"/>
      <c r="H111" s="5"/>
      <c r="I111" s="21"/>
      <c r="J111" s="5"/>
      <c r="K111" s="6"/>
      <c r="L111" s="5"/>
      <c r="M111" s="6"/>
      <c r="N111" s="5"/>
      <c r="O111" s="6"/>
      <c r="P111" s="5"/>
      <c r="Q111" s="6"/>
      <c r="R111" s="5"/>
      <c r="S111" s="6"/>
      <c r="T111" s="5"/>
      <c r="U111" s="21"/>
      <c r="V111" s="5"/>
      <c r="W111" s="6"/>
      <c r="X111" s="5"/>
      <c r="Y111" s="6"/>
      <c r="Z111" s="5"/>
      <c r="AA111" s="6"/>
      <c r="AB111" s="5"/>
      <c r="AC111" s="6"/>
      <c r="AD111" s="5"/>
      <c r="AE111" s="6"/>
      <c r="AF111" s="5"/>
      <c r="AG111" s="21"/>
      <c r="AH111" s="5"/>
      <c r="AI111" s="6"/>
      <c r="AJ111" s="5"/>
      <c r="AK111" s="6"/>
      <c r="AL111" s="5"/>
      <c r="AM111" s="21"/>
      <c r="AN111" s="5"/>
      <c r="AO111" s="6"/>
      <c r="AP111" s="5"/>
      <c r="AQ111" s="6"/>
      <c r="AR111" s="5"/>
      <c r="AS111" s="21"/>
      <c r="AT111" s="5"/>
      <c r="AU111" s="6"/>
      <c r="AV111" s="5"/>
      <c r="AW111" s="6"/>
      <c r="AX111" s="5"/>
      <c r="AY111" s="21"/>
      <c r="AZ111" s="6"/>
      <c r="BA111" s="6"/>
      <c r="BB111" s="6"/>
      <c r="BC111" s="7" t="str">
        <f t="shared" si="54"/>
        <v/>
      </c>
      <c r="BD111" s="7" t="str">
        <f t="shared" si="55"/>
        <v/>
      </c>
      <c r="BE111" s="4"/>
      <c r="BF111" s="16"/>
      <c r="BG111" s="16" t="str">
        <f t="shared" si="30"/>
        <v/>
      </c>
      <c r="BH111" s="16" t="str">
        <f t="shared" si="31"/>
        <v/>
      </c>
      <c r="BI111" s="16" t="str">
        <f t="shared" si="32"/>
        <v/>
      </c>
      <c r="BJ111" s="16" t="str">
        <f t="shared" si="33"/>
        <v/>
      </c>
      <c r="BK111" t="str">
        <f t="shared" si="34"/>
        <v/>
      </c>
      <c r="BL111" t="str">
        <f t="shared" si="35"/>
        <v/>
      </c>
      <c r="BM111" t="str">
        <f t="shared" si="36"/>
        <v/>
      </c>
      <c r="BN111" t="str">
        <f t="shared" si="37"/>
        <v/>
      </c>
      <c r="BO111" t="str">
        <f t="shared" si="38"/>
        <v/>
      </c>
      <c r="BP111" t="str">
        <f t="shared" si="39"/>
        <v/>
      </c>
      <c r="BQ111" t="str">
        <f t="shared" si="40"/>
        <v/>
      </c>
      <c r="BR111" t="str">
        <f t="shared" si="41"/>
        <v/>
      </c>
      <c r="BS111" t="str">
        <f t="shared" si="42"/>
        <v/>
      </c>
      <c r="BT111" t="str">
        <f t="shared" si="43"/>
        <v/>
      </c>
      <c r="BU111" t="str">
        <f t="shared" si="44"/>
        <v/>
      </c>
      <c r="BV111" t="str">
        <f t="shared" si="45"/>
        <v/>
      </c>
      <c r="BW111" t="str">
        <f t="shared" si="46"/>
        <v/>
      </c>
      <c r="BX111" t="str">
        <f t="shared" si="47"/>
        <v/>
      </c>
      <c r="BY111" t="str">
        <f t="shared" si="48"/>
        <v/>
      </c>
      <c r="BZ111" t="str">
        <f t="shared" si="49"/>
        <v/>
      </c>
      <c r="CA111" t="str">
        <f t="shared" si="50"/>
        <v/>
      </c>
      <c r="CB111" t="str">
        <f t="shared" si="51"/>
        <v/>
      </c>
      <c r="CC111" t="str">
        <f t="shared" si="52"/>
        <v/>
      </c>
      <c r="CD111" t="str">
        <f t="shared" si="53"/>
        <v/>
      </c>
    </row>
    <row r="112" spans="1:82" ht="33.6" customHeight="1" x14ac:dyDescent="0.3">
      <c r="A112" s="4"/>
      <c r="B112" s="4"/>
      <c r="C112" s="4"/>
      <c r="D112" s="5"/>
      <c r="E112" s="6"/>
      <c r="F112" s="5"/>
      <c r="G112" s="6"/>
      <c r="H112" s="5"/>
      <c r="I112" s="21"/>
      <c r="J112" s="5"/>
      <c r="K112" s="6"/>
      <c r="L112" s="5"/>
      <c r="M112" s="6"/>
      <c r="N112" s="5"/>
      <c r="O112" s="6"/>
      <c r="P112" s="5"/>
      <c r="Q112" s="6"/>
      <c r="R112" s="5"/>
      <c r="S112" s="6"/>
      <c r="T112" s="5"/>
      <c r="U112" s="21"/>
      <c r="V112" s="5"/>
      <c r="W112" s="6"/>
      <c r="X112" s="5"/>
      <c r="Y112" s="6"/>
      <c r="Z112" s="5"/>
      <c r="AA112" s="6"/>
      <c r="AB112" s="5"/>
      <c r="AC112" s="6"/>
      <c r="AD112" s="5"/>
      <c r="AE112" s="6"/>
      <c r="AF112" s="5"/>
      <c r="AG112" s="21"/>
      <c r="AH112" s="5"/>
      <c r="AI112" s="6"/>
      <c r="AJ112" s="5"/>
      <c r="AK112" s="6"/>
      <c r="AL112" s="5"/>
      <c r="AM112" s="21"/>
      <c r="AN112" s="5"/>
      <c r="AO112" s="6"/>
      <c r="AP112" s="5"/>
      <c r="AQ112" s="6"/>
      <c r="AR112" s="5"/>
      <c r="AS112" s="21"/>
      <c r="AT112" s="5"/>
      <c r="AU112" s="6"/>
      <c r="AV112" s="5"/>
      <c r="AW112" s="6"/>
      <c r="AX112" s="5"/>
      <c r="AY112" s="21"/>
      <c r="AZ112" s="6"/>
      <c r="BA112" s="6"/>
      <c r="BB112" s="6"/>
      <c r="BC112" s="7" t="str">
        <f t="shared" si="54"/>
        <v/>
      </c>
      <c r="BD112" s="7" t="str">
        <f t="shared" si="55"/>
        <v/>
      </c>
      <c r="BE112" s="4"/>
      <c r="BF112" s="16"/>
      <c r="BG112" s="16" t="str">
        <f t="shared" si="30"/>
        <v/>
      </c>
      <c r="BH112" s="16" t="str">
        <f t="shared" si="31"/>
        <v/>
      </c>
      <c r="BI112" s="16" t="str">
        <f t="shared" si="32"/>
        <v/>
      </c>
      <c r="BJ112" s="16" t="str">
        <f t="shared" si="33"/>
        <v/>
      </c>
      <c r="BK112" t="str">
        <f t="shared" si="34"/>
        <v/>
      </c>
      <c r="BL112" t="str">
        <f t="shared" si="35"/>
        <v/>
      </c>
      <c r="BM112" t="str">
        <f t="shared" si="36"/>
        <v/>
      </c>
      <c r="BN112" t="str">
        <f t="shared" si="37"/>
        <v/>
      </c>
      <c r="BO112" t="str">
        <f t="shared" si="38"/>
        <v/>
      </c>
      <c r="BP112" t="str">
        <f t="shared" si="39"/>
        <v/>
      </c>
      <c r="BQ112" t="str">
        <f t="shared" si="40"/>
        <v/>
      </c>
      <c r="BR112" t="str">
        <f t="shared" si="41"/>
        <v/>
      </c>
      <c r="BS112" t="str">
        <f t="shared" si="42"/>
        <v/>
      </c>
      <c r="BT112" t="str">
        <f t="shared" si="43"/>
        <v/>
      </c>
      <c r="BU112" t="str">
        <f t="shared" si="44"/>
        <v/>
      </c>
      <c r="BV112" t="str">
        <f t="shared" si="45"/>
        <v/>
      </c>
      <c r="BW112" t="str">
        <f t="shared" si="46"/>
        <v/>
      </c>
      <c r="BX112" t="str">
        <f t="shared" si="47"/>
        <v/>
      </c>
      <c r="BY112" t="str">
        <f t="shared" si="48"/>
        <v/>
      </c>
      <c r="BZ112" t="str">
        <f t="shared" si="49"/>
        <v/>
      </c>
      <c r="CA112" t="str">
        <f t="shared" si="50"/>
        <v/>
      </c>
      <c r="CB112" t="str">
        <f t="shared" si="51"/>
        <v/>
      </c>
      <c r="CC112" t="str">
        <f t="shared" si="52"/>
        <v/>
      </c>
      <c r="CD112" t="str">
        <f t="shared" si="53"/>
        <v/>
      </c>
    </row>
    <row r="113" spans="1:82" ht="33.6" customHeight="1" x14ac:dyDescent="0.3">
      <c r="A113" s="4"/>
      <c r="B113" s="4"/>
      <c r="C113" s="4"/>
      <c r="D113" s="5"/>
      <c r="E113" s="6"/>
      <c r="F113" s="5"/>
      <c r="G113" s="6"/>
      <c r="H113" s="5"/>
      <c r="I113" s="21"/>
      <c r="J113" s="5"/>
      <c r="K113" s="6"/>
      <c r="L113" s="5"/>
      <c r="M113" s="6"/>
      <c r="N113" s="5"/>
      <c r="O113" s="6"/>
      <c r="P113" s="5"/>
      <c r="Q113" s="6"/>
      <c r="R113" s="5"/>
      <c r="S113" s="6"/>
      <c r="T113" s="5"/>
      <c r="U113" s="21"/>
      <c r="V113" s="5"/>
      <c r="W113" s="6"/>
      <c r="X113" s="5"/>
      <c r="Y113" s="6"/>
      <c r="Z113" s="5"/>
      <c r="AA113" s="6"/>
      <c r="AB113" s="5"/>
      <c r="AC113" s="6"/>
      <c r="AD113" s="5"/>
      <c r="AE113" s="6"/>
      <c r="AF113" s="5"/>
      <c r="AG113" s="21"/>
      <c r="AH113" s="5"/>
      <c r="AI113" s="6"/>
      <c r="AJ113" s="5"/>
      <c r="AK113" s="6"/>
      <c r="AL113" s="5"/>
      <c r="AM113" s="21"/>
      <c r="AN113" s="5"/>
      <c r="AO113" s="6"/>
      <c r="AP113" s="5"/>
      <c r="AQ113" s="6"/>
      <c r="AR113" s="5"/>
      <c r="AS113" s="21"/>
      <c r="AT113" s="5"/>
      <c r="AU113" s="6"/>
      <c r="AV113" s="5"/>
      <c r="AW113" s="6"/>
      <c r="AX113" s="5"/>
      <c r="AY113" s="21"/>
      <c r="AZ113" s="6"/>
      <c r="BA113" s="6"/>
      <c r="BB113" s="6"/>
      <c r="BC113" s="7" t="str">
        <f t="shared" si="54"/>
        <v/>
      </c>
      <c r="BD113" s="7" t="str">
        <f t="shared" si="55"/>
        <v/>
      </c>
      <c r="BE113" s="4"/>
      <c r="BF113" s="16"/>
      <c r="BG113" s="16" t="str">
        <f t="shared" si="30"/>
        <v/>
      </c>
      <c r="BH113" s="16" t="str">
        <f t="shared" si="31"/>
        <v/>
      </c>
      <c r="BI113" s="16" t="str">
        <f t="shared" si="32"/>
        <v/>
      </c>
      <c r="BJ113" s="16" t="str">
        <f t="shared" si="33"/>
        <v/>
      </c>
      <c r="BK113" t="str">
        <f t="shared" si="34"/>
        <v/>
      </c>
      <c r="BL113" t="str">
        <f t="shared" si="35"/>
        <v/>
      </c>
      <c r="BM113" t="str">
        <f t="shared" si="36"/>
        <v/>
      </c>
      <c r="BN113" t="str">
        <f t="shared" si="37"/>
        <v/>
      </c>
      <c r="BO113" t="str">
        <f t="shared" si="38"/>
        <v/>
      </c>
      <c r="BP113" t="str">
        <f t="shared" si="39"/>
        <v/>
      </c>
      <c r="BQ113" t="str">
        <f t="shared" si="40"/>
        <v/>
      </c>
      <c r="BR113" t="str">
        <f t="shared" si="41"/>
        <v/>
      </c>
      <c r="BS113" t="str">
        <f t="shared" si="42"/>
        <v/>
      </c>
      <c r="BT113" t="str">
        <f t="shared" si="43"/>
        <v/>
      </c>
      <c r="BU113" t="str">
        <f t="shared" si="44"/>
        <v/>
      </c>
      <c r="BV113" t="str">
        <f t="shared" si="45"/>
        <v/>
      </c>
      <c r="BW113" t="str">
        <f t="shared" si="46"/>
        <v/>
      </c>
      <c r="BX113" t="str">
        <f t="shared" si="47"/>
        <v/>
      </c>
      <c r="BY113" t="str">
        <f t="shared" si="48"/>
        <v/>
      </c>
      <c r="BZ113" t="str">
        <f t="shared" si="49"/>
        <v/>
      </c>
      <c r="CA113" t="str">
        <f t="shared" si="50"/>
        <v/>
      </c>
      <c r="CB113" t="str">
        <f t="shared" si="51"/>
        <v/>
      </c>
      <c r="CC113" t="str">
        <f t="shared" si="52"/>
        <v/>
      </c>
      <c r="CD113" t="str">
        <f t="shared" si="53"/>
        <v/>
      </c>
    </row>
    <row r="114" spans="1:82" ht="33.6" customHeight="1" x14ac:dyDescent="0.3">
      <c r="A114" s="4"/>
      <c r="B114" s="4"/>
      <c r="C114" s="4"/>
      <c r="D114" s="5"/>
      <c r="E114" s="6"/>
      <c r="F114" s="5"/>
      <c r="G114" s="6"/>
      <c r="H114" s="5"/>
      <c r="I114" s="21"/>
      <c r="J114" s="5"/>
      <c r="K114" s="6"/>
      <c r="L114" s="5"/>
      <c r="M114" s="6"/>
      <c r="N114" s="5"/>
      <c r="O114" s="6"/>
      <c r="P114" s="5"/>
      <c r="Q114" s="6"/>
      <c r="R114" s="5"/>
      <c r="S114" s="6"/>
      <c r="T114" s="5"/>
      <c r="U114" s="21"/>
      <c r="V114" s="5"/>
      <c r="W114" s="6"/>
      <c r="X114" s="5"/>
      <c r="Y114" s="6"/>
      <c r="Z114" s="5"/>
      <c r="AA114" s="6"/>
      <c r="AB114" s="5"/>
      <c r="AC114" s="6"/>
      <c r="AD114" s="5"/>
      <c r="AE114" s="6"/>
      <c r="AF114" s="5"/>
      <c r="AG114" s="21"/>
      <c r="AH114" s="5"/>
      <c r="AI114" s="6"/>
      <c r="AJ114" s="5"/>
      <c r="AK114" s="6"/>
      <c r="AL114" s="5"/>
      <c r="AM114" s="21"/>
      <c r="AN114" s="5"/>
      <c r="AO114" s="6"/>
      <c r="AP114" s="5"/>
      <c r="AQ114" s="6"/>
      <c r="AR114" s="5"/>
      <c r="AS114" s="21"/>
      <c r="AT114" s="5"/>
      <c r="AU114" s="6"/>
      <c r="AV114" s="5"/>
      <c r="AW114" s="6"/>
      <c r="AX114" s="5"/>
      <c r="AY114" s="21"/>
      <c r="AZ114" s="6"/>
      <c r="BA114" s="6"/>
      <c r="BB114" s="6"/>
      <c r="BC114" s="7" t="str">
        <f t="shared" si="54"/>
        <v/>
      </c>
      <c r="BD114" s="7" t="str">
        <f t="shared" si="55"/>
        <v/>
      </c>
      <c r="BE114" s="4"/>
      <c r="BF114" s="16"/>
      <c r="BG114" s="16" t="str">
        <f t="shared" si="30"/>
        <v/>
      </c>
      <c r="BH114" s="16" t="str">
        <f t="shared" si="31"/>
        <v/>
      </c>
      <c r="BI114" s="16" t="str">
        <f t="shared" si="32"/>
        <v/>
      </c>
      <c r="BJ114" s="16" t="str">
        <f t="shared" si="33"/>
        <v/>
      </c>
      <c r="BK114" t="str">
        <f t="shared" si="34"/>
        <v/>
      </c>
      <c r="BL114" t="str">
        <f t="shared" si="35"/>
        <v/>
      </c>
      <c r="BM114" t="str">
        <f t="shared" si="36"/>
        <v/>
      </c>
      <c r="BN114" t="str">
        <f t="shared" si="37"/>
        <v/>
      </c>
      <c r="BO114" t="str">
        <f t="shared" si="38"/>
        <v/>
      </c>
      <c r="BP114" t="str">
        <f t="shared" si="39"/>
        <v/>
      </c>
      <c r="BQ114" t="str">
        <f t="shared" si="40"/>
        <v/>
      </c>
      <c r="BR114" t="str">
        <f t="shared" si="41"/>
        <v/>
      </c>
      <c r="BS114" t="str">
        <f t="shared" si="42"/>
        <v/>
      </c>
      <c r="BT114" t="str">
        <f t="shared" si="43"/>
        <v/>
      </c>
      <c r="BU114" t="str">
        <f t="shared" si="44"/>
        <v/>
      </c>
      <c r="BV114" t="str">
        <f t="shared" si="45"/>
        <v/>
      </c>
      <c r="BW114" t="str">
        <f t="shared" si="46"/>
        <v/>
      </c>
      <c r="BX114" t="str">
        <f t="shared" si="47"/>
        <v/>
      </c>
      <c r="BY114" t="str">
        <f t="shared" si="48"/>
        <v/>
      </c>
      <c r="BZ114" t="str">
        <f t="shared" si="49"/>
        <v/>
      </c>
      <c r="CA114" t="str">
        <f t="shared" si="50"/>
        <v/>
      </c>
      <c r="CB114" t="str">
        <f t="shared" si="51"/>
        <v/>
      </c>
      <c r="CC114" t="str">
        <f t="shared" si="52"/>
        <v/>
      </c>
      <c r="CD114" t="str">
        <f t="shared" si="53"/>
        <v/>
      </c>
    </row>
    <row r="115" spans="1:82" ht="33.6" customHeight="1" x14ac:dyDescent="0.3">
      <c r="A115" s="4"/>
      <c r="B115" s="4"/>
      <c r="C115" s="4"/>
      <c r="D115" s="5"/>
      <c r="E115" s="6"/>
      <c r="F115" s="5"/>
      <c r="G115" s="6"/>
      <c r="H115" s="5"/>
      <c r="I115" s="21"/>
      <c r="J115" s="5"/>
      <c r="K115" s="6"/>
      <c r="L115" s="5"/>
      <c r="M115" s="6"/>
      <c r="N115" s="5"/>
      <c r="O115" s="6"/>
      <c r="P115" s="5"/>
      <c r="Q115" s="6"/>
      <c r="R115" s="5"/>
      <c r="S115" s="6"/>
      <c r="T115" s="5"/>
      <c r="U115" s="21"/>
      <c r="V115" s="5"/>
      <c r="W115" s="6"/>
      <c r="X115" s="5"/>
      <c r="Y115" s="6"/>
      <c r="Z115" s="5"/>
      <c r="AA115" s="6"/>
      <c r="AB115" s="5"/>
      <c r="AC115" s="6"/>
      <c r="AD115" s="5"/>
      <c r="AE115" s="6"/>
      <c r="AF115" s="5"/>
      <c r="AG115" s="21"/>
      <c r="AH115" s="5"/>
      <c r="AI115" s="6"/>
      <c r="AJ115" s="5"/>
      <c r="AK115" s="6"/>
      <c r="AL115" s="5"/>
      <c r="AM115" s="21"/>
      <c r="AN115" s="5"/>
      <c r="AO115" s="6"/>
      <c r="AP115" s="5"/>
      <c r="AQ115" s="6"/>
      <c r="AR115" s="5"/>
      <c r="AS115" s="21"/>
      <c r="AT115" s="5"/>
      <c r="AU115" s="6"/>
      <c r="AV115" s="5"/>
      <c r="AW115" s="6"/>
      <c r="AX115" s="5"/>
      <c r="AY115" s="21"/>
      <c r="AZ115" s="6"/>
      <c r="BA115" s="6"/>
      <c r="BB115" s="6"/>
      <c r="BC115" s="7" t="str">
        <f t="shared" si="54"/>
        <v/>
      </c>
      <c r="BD115" s="7" t="str">
        <f t="shared" si="55"/>
        <v/>
      </c>
      <c r="BE115" s="4"/>
      <c r="BF115" s="16"/>
      <c r="BG115" s="16" t="str">
        <f t="shared" si="30"/>
        <v/>
      </c>
      <c r="BH115" s="16" t="str">
        <f t="shared" si="31"/>
        <v/>
      </c>
      <c r="BI115" s="16" t="str">
        <f t="shared" si="32"/>
        <v/>
      </c>
      <c r="BJ115" s="16" t="str">
        <f t="shared" si="33"/>
        <v/>
      </c>
      <c r="BK115" t="str">
        <f t="shared" si="34"/>
        <v/>
      </c>
      <c r="BL115" t="str">
        <f t="shared" si="35"/>
        <v/>
      </c>
      <c r="BM115" t="str">
        <f t="shared" si="36"/>
        <v/>
      </c>
      <c r="BN115" t="str">
        <f t="shared" si="37"/>
        <v/>
      </c>
      <c r="BO115" t="str">
        <f t="shared" si="38"/>
        <v/>
      </c>
      <c r="BP115" t="str">
        <f t="shared" si="39"/>
        <v/>
      </c>
      <c r="BQ115" t="str">
        <f t="shared" si="40"/>
        <v/>
      </c>
      <c r="BR115" t="str">
        <f t="shared" si="41"/>
        <v/>
      </c>
      <c r="BS115" t="str">
        <f t="shared" si="42"/>
        <v/>
      </c>
      <c r="BT115" t="str">
        <f t="shared" si="43"/>
        <v/>
      </c>
      <c r="BU115" t="str">
        <f t="shared" si="44"/>
        <v/>
      </c>
      <c r="BV115" t="str">
        <f t="shared" si="45"/>
        <v/>
      </c>
      <c r="BW115" t="str">
        <f t="shared" si="46"/>
        <v/>
      </c>
      <c r="BX115" t="str">
        <f t="shared" si="47"/>
        <v/>
      </c>
      <c r="BY115" t="str">
        <f t="shared" si="48"/>
        <v/>
      </c>
      <c r="BZ115" t="str">
        <f t="shared" si="49"/>
        <v/>
      </c>
      <c r="CA115" t="str">
        <f t="shared" si="50"/>
        <v/>
      </c>
      <c r="CB115" t="str">
        <f t="shared" si="51"/>
        <v/>
      </c>
      <c r="CC115" t="str">
        <f t="shared" si="52"/>
        <v/>
      </c>
      <c r="CD115" t="str">
        <f t="shared" si="53"/>
        <v/>
      </c>
    </row>
    <row r="116" spans="1:82" ht="33.6" customHeight="1" x14ac:dyDescent="0.3">
      <c r="A116" s="4"/>
      <c r="B116" s="4"/>
      <c r="C116" s="4"/>
      <c r="D116" s="5"/>
      <c r="E116" s="6"/>
      <c r="F116" s="5"/>
      <c r="G116" s="6"/>
      <c r="H116" s="5"/>
      <c r="I116" s="21"/>
      <c r="J116" s="5"/>
      <c r="K116" s="6"/>
      <c r="L116" s="5"/>
      <c r="M116" s="6"/>
      <c r="N116" s="5"/>
      <c r="O116" s="6"/>
      <c r="P116" s="5"/>
      <c r="Q116" s="6"/>
      <c r="R116" s="5"/>
      <c r="S116" s="6"/>
      <c r="T116" s="5"/>
      <c r="U116" s="21"/>
      <c r="V116" s="5"/>
      <c r="W116" s="6"/>
      <c r="X116" s="5"/>
      <c r="Y116" s="6"/>
      <c r="Z116" s="5"/>
      <c r="AA116" s="6"/>
      <c r="AB116" s="5"/>
      <c r="AC116" s="6"/>
      <c r="AD116" s="5"/>
      <c r="AE116" s="6"/>
      <c r="AF116" s="5"/>
      <c r="AG116" s="21"/>
      <c r="AH116" s="5"/>
      <c r="AI116" s="6"/>
      <c r="AJ116" s="5"/>
      <c r="AK116" s="6"/>
      <c r="AL116" s="5"/>
      <c r="AM116" s="21"/>
      <c r="AN116" s="5"/>
      <c r="AO116" s="6"/>
      <c r="AP116" s="5"/>
      <c r="AQ116" s="6"/>
      <c r="AR116" s="5"/>
      <c r="AS116" s="21"/>
      <c r="AT116" s="5"/>
      <c r="AU116" s="6"/>
      <c r="AV116" s="5"/>
      <c r="AW116" s="6"/>
      <c r="AX116" s="5"/>
      <c r="AY116" s="21"/>
      <c r="AZ116" s="6"/>
      <c r="BA116" s="6"/>
      <c r="BB116" s="6"/>
      <c r="BC116" s="7" t="str">
        <f t="shared" si="54"/>
        <v/>
      </c>
      <c r="BD116" s="7" t="str">
        <f t="shared" si="55"/>
        <v/>
      </c>
      <c r="BE116" s="4"/>
      <c r="BF116" s="16"/>
      <c r="BG116" s="16" t="str">
        <f t="shared" si="30"/>
        <v/>
      </c>
      <c r="BH116" s="16" t="str">
        <f t="shared" si="31"/>
        <v/>
      </c>
      <c r="BI116" s="16" t="str">
        <f t="shared" si="32"/>
        <v/>
      </c>
      <c r="BJ116" s="16" t="str">
        <f t="shared" si="33"/>
        <v/>
      </c>
      <c r="BK116" t="str">
        <f t="shared" si="34"/>
        <v/>
      </c>
      <c r="BL116" t="str">
        <f t="shared" si="35"/>
        <v/>
      </c>
      <c r="BM116" t="str">
        <f t="shared" si="36"/>
        <v/>
      </c>
      <c r="BN116" t="str">
        <f t="shared" si="37"/>
        <v/>
      </c>
      <c r="BO116" t="str">
        <f t="shared" si="38"/>
        <v/>
      </c>
      <c r="BP116" t="str">
        <f t="shared" si="39"/>
        <v/>
      </c>
      <c r="BQ116" t="str">
        <f t="shared" si="40"/>
        <v/>
      </c>
      <c r="BR116" t="str">
        <f t="shared" si="41"/>
        <v/>
      </c>
      <c r="BS116" t="str">
        <f t="shared" si="42"/>
        <v/>
      </c>
      <c r="BT116" t="str">
        <f t="shared" si="43"/>
        <v/>
      </c>
      <c r="BU116" t="str">
        <f t="shared" si="44"/>
        <v/>
      </c>
      <c r="BV116" t="str">
        <f t="shared" si="45"/>
        <v/>
      </c>
      <c r="BW116" t="str">
        <f t="shared" si="46"/>
        <v/>
      </c>
      <c r="BX116" t="str">
        <f t="shared" si="47"/>
        <v/>
      </c>
      <c r="BY116" t="str">
        <f t="shared" si="48"/>
        <v/>
      </c>
      <c r="BZ116" t="str">
        <f t="shared" si="49"/>
        <v/>
      </c>
      <c r="CA116" t="str">
        <f t="shared" si="50"/>
        <v/>
      </c>
      <c r="CB116" t="str">
        <f t="shared" si="51"/>
        <v/>
      </c>
      <c r="CC116" t="str">
        <f t="shared" si="52"/>
        <v/>
      </c>
      <c r="CD116" t="str">
        <f t="shared" si="53"/>
        <v/>
      </c>
    </row>
    <row r="117" spans="1:82" ht="33.6" customHeight="1" x14ac:dyDescent="0.3">
      <c r="A117" s="4"/>
      <c r="B117" s="4"/>
      <c r="C117" s="4"/>
      <c r="D117" s="5"/>
      <c r="E117" s="6"/>
      <c r="F117" s="5"/>
      <c r="G117" s="6"/>
      <c r="H117" s="5"/>
      <c r="I117" s="21"/>
      <c r="J117" s="5"/>
      <c r="K117" s="6"/>
      <c r="L117" s="5"/>
      <c r="M117" s="6"/>
      <c r="N117" s="5"/>
      <c r="O117" s="6"/>
      <c r="P117" s="5"/>
      <c r="Q117" s="6"/>
      <c r="R117" s="5"/>
      <c r="S117" s="6"/>
      <c r="T117" s="5"/>
      <c r="U117" s="21"/>
      <c r="V117" s="5"/>
      <c r="W117" s="6"/>
      <c r="X117" s="5"/>
      <c r="Y117" s="6"/>
      <c r="Z117" s="5"/>
      <c r="AA117" s="6"/>
      <c r="AB117" s="5"/>
      <c r="AC117" s="6"/>
      <c r="AD117" s="5"/>
      <c r="AE117" s="6"/>
      <c r="AF117" s="5"/>
      <c r="AG117" s="21"/>
      <c r="AH117" s="5"/>
      <c r="AI117" s="6"/>
      <c r="AJ117" s="5"/>
      <c r="AK117" s="6"/>
      <c r="AL117" s="5"/>
      <c r="AM117" s="21"/>
      <c r="AN117" s="5"/>
      <c r="AO117" s="6"/>
      <c r="AP117" s="5"/>
      <c r="AQ117" s="6"/>
      <c r="AR117" s="5"/>
      <c r="AS117" s="21"/>
      <c r="AT117" s="5"/>
      <c r="AU117" s="6"/>
      <c r="AV117" s="5"/>
      <c r="AW117" s="6"/>
      <c r="AX117" s="5"/>
      <c r="AY117" s="21"/>
      <c r="AZ117" s="6"/>
      <c r="BA117" s="6"/>
      <c r="BB117" s="6"/>
      <c r="BC117" s="7" t="str">
        <f t="shared" si="54"/>
        <v/>
      </c>
      <c r="BD117" s="7" t="str">
        <f t="shared" si="55"/>
        <v/>
      </c>
      <c r="BE117" s="4"/>
      <c r="BF117" s="16"/>
      <c r="BG117" s="16" t="str">
        <f t="shared" si="30"/>
        <v/>
      </c>
      <c r="BH117" s="16" t="str">
        <f t="shared" si="31"/>
        <v/>
      </c>
      <c r="BI117" s="16" t="str">
        <f t="shared" si="32"/>
        <v/>
      </c>
      <c r="BJ117" s="16" t="str">
        <f t="shared" si="33"/>
        <v/>
      </c>
      <c r="BK117" t="str">
        <f t="shared" si="34"/>
        <v/>
      </c>
      <c r="BL117" t="str">
        <f t="shared" si="35"/>
        <v/>
      </c>
      <c r="BM117" t="str">
        <f t="shared" si="36"/>
        <v/>
      </c>
      <c r="BN117" t="str">
        <f t="shared" si="37"/>
        <v/>
      </c>
      <c r="BO117" t="str">
        <f t="shared" si="38"/>
        <v/>
      </c>
      <c r="BP117" t="str">
        <f t="shared" si="39"/>
        <v/>
      </c>
      <c r="BQ117" t="str">
        <f t="shared" si="40"/>
        <v/>
      </c>
      <c r="BR117" t="str">
        <f t="shared" si="41"/>
        <v/>
      </c>
      <c r="BS117" t="str">
        <f t="shared" si="42"/>
        <v/>
      </c>
      <c r="BT117" t="str">
        <f t="shared" si="43"/>
        <v/>
      </c>
      <c r="BU117" t="str">
        <f t="shared" si="44"/>
        <v/>
      </c>
      <c r="BV117" t="str">
        <f t="shared" si="45"/>
        <v/>
      </c>
      <c r="BW117" t="str">
        <f t="shared" si="46"/>
        <v/>
      </c>
      <c r="BX117" t="str">
        <f t="shared" si="47"/>
        <v/>
      </c>
      <c r="BY117" t="str">
        <f t="shared" si="48"/>
        <v/>
      </c>
      <c r="BZ117" t="str">
        <f t="shared" si="49"/>
        <v/>
      </c>
      <c r="CA117" t="str">
        <f t="shared" si="50"/>
        <v/>
      </c>
      <c r="CB117" t="str">
        <f t="shared" si="51"/>
        <v/>
      </c>
      <c r="CC117" t="str">
        <f t="shared" si="52"/>
        <v/>
      </c>
      <c r="CD117" t="str">
        <f t="shared" si="53"/>
        <v/>
      </c>
    </row>
    <row r="118" spans="1:82" ht="33.6" customHeight="1" x14ac:dyDescent="0.3">
      <c r="A118" s="4"/>
      <c r="B118" s="4"/>
      <c r="C118" s="4"/>
      <c r="D118" s="5"/>
      <c r="E118" s="6"/>
      <c r="F118" s="5"/>
      <c r="G118" s="6"/>
      <c r="H118" s="5"/>
      <c r="I118" s="21"/>
      <c r="J118" s="5"/>
      <c r="K118" s="6"/>
      <c r="L118" s="5"/>
      <c r="M118" s="6"/>
      <c r="N118" s="5"/>
      <c r="O118" s="6"/>
      <c r="P118" s="5"/>
      <c r="Q118" s="6"/>
      <c r="R118" s="5"/>
      <c r="S118" s="6"/>
      <c r="T118" s="5"/>
      <c r="U118" s="21"/>
      <c r="V118" s="5"/>
      <c r="W118" s="6"/>
      <c r="X118" s="5"/>
      <c r="Y118" s="6"/>
      <c r="Z118" s="5"/>
      <c r="AA118" s="6"/>
      <c r="AB118" s="5"/>
      <c r="AC118" s="6"/>
      <c r="AD118" s="5"/>
      <c r="AE118" s="6"/>
      <c r="AF118" s="5"/>
      <c r="AG118" s="21"/>
      <c r="AH118" s="5"/>
      <c r="AI118" s="6"/>
      <c r="AJ118" s="5"/>
      <c r="AK118" s="6"/>
      <c r="AL118" s="5"/>
      <c r="AM118" s="21"/>
      <c r="AN118" s="5"/>
      <c r="AO118" s="6"/>
      <c r="AP118" s="5"/>
      <c r="AQ118" s="6"/>
      <c r="AR118" s="5"/>
      <c r="AS118" s="21"/>
      <c r="AT118" s="5"/>
      <c r="AU118" s="6"/>
      <c r="AV118" s="5"/>
      <c r="AW118" s="6"/>
      <c r="AX118" s="5"/>
      <c r="AY118" s="21"/>
      <c r="AZ118" s="6"/>
      <c r="BA118" s="6"/>
      <c r="BB118" s="6"/>
      <c r="BC118" s="7" t="str">
        <f t="shared" si="54"/>
        <v/>
      </c>
      <c r="BD118" s="7" t="str">
        <f t="shared" si="55"/>
        <v/>
      </c>
      <c r="BE118" s="4"/>
      <c r="BF118" s="16"/>
      <c r="BG118" s="16" t="str">
        <f t="shared" si="30"/>
        <v/>
      </c>
      <c r="BH118" s="16" t="str">
        <f t="shared" si="31"/>
        <v/>
      </c>
      <c r="BI118" s="16" t="str">
        <f t="shared" si="32"/>
        <v/>
      </c>
      <c r="BJ118" s="16" t="str">
        <f t="shared" si="33"/>
        <v/>
      </c>
      <c r="BK118" t="str">
        <f t="shared" si="34"/>
        <v/>
      </c>
      <c r="BL118" t="str">
        <f t="shared" si="35"/>
        <v/>
      </c>
      <c r="BM118" t="str">
        <f t="shared" si="36"/>
        <v/>
      </c>
      <c r="BN118" t="str">
        <f t="shared" si="37"/>
        <v/>
      </c>
      <c r="BO118" t="str">
        <f t="shared" si="38"/>
        <v/>
      </c>
      <c r="BP118" t="str">
        <f t="shared" si="39"/>
        <v/>
      </c>
      <c r="BQ118" t="str">
        <f t="shared" si="40"/>
        <v/>
      </c>
      <c r="BR118" t="str">
        <f t="shared" si="41"/>
        <v/>
      </c>
      <c r="BS118" t="str">
        <f t="shared" si="42"/>
        <v/>
      </c>
      <c r="BT118" t="str">
        <f t="shared" si="43"/>
        <v/>
      </c>
      <c r="BU118" t="str">
        <f t="shared" si="44"/>
        <v/>
      </c>
      <c r="BV118" t="str">
        <f t="shared" si="45"/>
        <v/>
      </c>
      <c r="BW118" t="str">
        <f t="shared" si="46"/>
        <v/>
      </c>
      <c r="BX118" t="str">
        <f t="shared" si="47"/>
        <v/>
      </c>
      <c r="BY118" t="str">
        <f t="shared" si="48"/>
        <v/>
      </c>
      <c r="BZ118" t="str">
        <f t="shared" si="49"/>
        <v/>
      </c>
      <c r="CA118" t="str">
        <f t="shared" si="50"/>
        <v/>
      </c>
      <c r="CB118" t="str">
        <f t="shared" si="51"/>
        <v/>
      </c>
      <c r="CC118" t="str">
        <f t="shared" si="52"/>
        <v/>
      </c>
      <c r="CD118" t="str">
        <f t="shared" si="53"/>
        <v/>
      </c>
    </row>
    <row r="119" spans="1:82" ht="33.6" customHeight="1" x14ac:dyDescent="0.3">
      <c r="A119" s="4"/>
      <c r="B119" s="4"/>
      <c r="C119" s="4"/>
      <c r="D119" s="5"/>
      <c r="E119" s="6"/>
      <c r="F119" s="5"/>
      <c r="G119" s="6"/>
      <c r="H119" s="5"/>
      <c r="I119" s="21"/>
      <c r="J119" s="5"/>
      <c r="K119" s="6"/>
      <c r="L119" s="5"/>
      <c r="M119" s="6"/>
      <c r="N119" s="5"/>
      <c r="O119" s="6"/>
      <c r="P119" s="5"/>
      <c r="Q119" s="6"/>
      <c r="R119" s="5"/>
      <c r="S119" s="6"/>
      <c r="T119" s="5"/>
      <c r="U119" s="21"/>
      <c r="V119" s="5"/>
      <c r="W119" s="6"/>
      <c r="X119" s="5"/>
      <c r="Y119" s="6"/>
      <c r="Z119" s="5"/>
      <c r="AA119" s="6"/>
      <c r="AB119" s="5"/>
      <c r="AC119" s="6"/>
      <c r="AD119" s="5"/>
      <c r="AE119" s="6"/>
      <c r="AF119" s="5"/>
      <c r="AG119" s="21"/>
      <c r="AH119" s="5"/>
      <c r="AI119" s="6"/>
      <c r="AJ119" s="5"/>
      <c r="AK119" s="6"/>
      <c r="AL119" s="5"/>
      <c r="AM119" s="21"/>
      <c r="AN119" s="5"/>
      <c r="AO119" s="6"/>
      <c r="AP119" s="5"/>
      <c r="AQ119" s="6"/>
      <c r="AR119" s="5"/>
      <c r="AS119" s="21"/>
      <c r="AT119" s="5"/>
      <c r="AU119" s="6"/>
      <c r="AV119" s="5"/>
      <c r="AW119" s="6"/>
      <c r="AX119" s="5"/>
      <c r="AY119" s="21"/>
      <c r="AZ119" s="6"/>
      <c r="BA119" s="6"/>
      <c r="BB119" s="6"/>
      <c r="BC119" s="7" t="str">
        <f t="shared" si="54"/>
        <v/>
      </c>
      <c r="BD119" s="7" t="str">
        <f t="shared" si="55"/>
        <v/>
      </c>
      <c r="BE119" s="4"/>
      <c r="BF119" s="16"/>
      <c r="BG119" s="16" t="str">
        <f t="shared" si="30"/>
        <v/>
      </c>
      <c r="BH119" s="16" t="str">
        <f t="shared" si="31"/>
        <v/>
      </c>
      <c r="BI119" s="16" t="str">
        <f t="shared" si="32"/>
        <v/>
      </c>
      <c r="BJ119" s="16" t="str">
        <f t="shared" si="33"/>
        <v/>
      </c>
      <c r="BK119" t="str">
        <f t="shared" si="34"/>
        <v/>
      </c>
      <c r="BL119" t="str">
        <f t="shared" si="35"/>
        <v/>
      </c>
      <c r="BM119" t="str">
        <f t="shared" si="36"/>
        <v/>
      </c>
      <c r="BN119" t="str">
        <f t="shared" si="37"/>
        <v/>
      </c>
      <c r="BO119" t="str">
        <f t="shared" si="38"/>
        <v/>
      </c>
      <c r="BP119" t="str">
        <f t="shared" si="39"/>
        <v/>
      </c>
      <c r="BQ119" t="str">
        <f t="shared" si="40"/>
        <v/>
      </c>
      <c r="BR119" t="str">
        <f t="shared" si="41"/>
        <v/>
      </c>
      <c r="BS119" t="str">
        <f t="shared" si="42"/>
        <v/>
      </c>
      <c r="BT119" t="str">
        <f t="shared" si="43"/>
        <v/>
      </c>
      <c r="BU119" t="str">
        <f t="shared" si="44"/>
        <v/>
      </c>
      <c r="BV119" t="str">
        <f t="shared" si="45"/>
        <v/>
      </c>
      <c r="BW119" t="str">
        <f t="shared" si="46"/>
        <v/>
      </c>
      <c r="BX119" t="str">
        <f t="shared" si="47"/>
        <v/>
      </c>
      <c r="BY119" t="str">
        <f t="shared" si="48"/>
        <v/>
      </c>
      <c r="BZ119" t="str">
        <f t="shared" si="49"/>
        <v/>
      </c>
      <c r="CA119" t="str">
        <f t="shared" si="50"/>
        <v/>
      </c>
      <c r="CB119" t="str">
        <f t="shared" si="51"/>
        <v/>
      </c>
      <c r="CC119" t="str">
        <f t="shared" si="52"/>
        <v/>
      </c>
      <c r="CD119" t="str">
        <f t="shared" si="53"/>
        <v/>
      </c>
    </row>
    <row r="120" spans="1:82" ht="33.6" customHeight="1" x14ac:dyDescent="0.3">
      <c r="A120" s="4"/>
      <c r="B120" s="4"/>
      <c r="C120" s="4"/>
      <c r="D120" s="5"/>
      <c r="E120" s="6"/>
      <c r="F120" s="5"/>
      <c r="G120" s="6"/>
      <c r="H120" s="5"/>
      <c r="I120" s="21"/>
      <c r="J120" s="5"/>
      <c r="K120" s="6"/>
      <c r="L120" s="5"/>
      <c r="M120" s="6"/>
      <c r="N120" s="5"/>
      <c r="O120" s="6"/>
      <c r="P120" s="5"/>
      <c r="Q120" s="6"/>
      <c r="R120" s="5"/>
      <c r="S120" s="6"/>
      <c r="T120" s="5"/>
      <c r="U120" s="21"/>
      <c r="V120" s="5"/>
      <c r="W120" s="6"/>
      <c r="X120" s="5"/>
      <c r="Y120" s="6"/>
      <c r="Z120" s="5"/>
      <c r="AA120" s="6"/>
      <c r="AB120" s="5"/>
      <c r="AC120" s="6"/>
      <c r="AD120" s="5"/>
      <c r="AE120" s="6"/>
      <c r="AF120" s="5"/>
      <c r="AG120" s="21"/>
      <c r="AH120" s="5"/>
      <c r="AI120" s="6"/>
      <c r="AJ120" s="5"/>
      <c r="AK120" s="6"/>
      <c r="AL120" s="5"/>
      <c r="AM120" s="21"/>
      <c r="AN120" s="5"/>
      <c r="AO120" s="6"/>
      <c r="AP120" s="5"/>
      <c r="AQ120" s="6"/>
      <c r="AR120" s="5"/>
      <c r="AS120" s="21"/>
      <c r="AT120" s="5"/>
      <c r="AU120" s="6"/>
      <c r="AV120" s="5"/>
      <c r="AW120" s="6"/>
      <c r="AX120" s="5"/>
      <c r="AY120" s="21"/>
      <c r="AZ120" s="6"/>
      <c r="BA120" s="6"/>
      <c r="BB120" s="6"/>
      <c r="BC120" s="7" t="str">
        <f t="shared" si="54"/>
        <v/>
      </c>
      <c r="BD120" s="7" t="str">
        <f t="shared" si="55"/>
        <v/>
      </c>
      <c r="BE120" s="4"/>
      <c r="BF120" s="16"/>
      <c r="BG120" s="16" t="str">
        <f t="shared" si="30"/>
        <v/>
      </c>
      <c r="BH120" s="16" t="str">
        <f t="shared" si="31"/>
        <v/>
      </c>
      <c r="BI120" s="16" t="str">
        <f t="shared" si="32"/>
        <v/>
      </c>
      <c r="BJ120" s="16" t="str">
        <f t="shared" si="33"/>
        <v/>
      </c>
      <c r="BK120" t="str">
        <f t="shared" si="34"/>
        <v/>
      </c>
      <c r="BL120" t="str">
        <f t="shared" si="35"/>
        <v/>
      </c>
      <c r="BM120" t="str">
        <f t="shared" si="36"/>
        <v/>
      </c>
      <c r="BN120" t="str">
        <f t="shared" si="37"/>
        <v/>
      </c>
      <c r="BO120" t="str">
        <f t="shared" si="38"/>
        <v/>
      </c>
      <c r="BP120" t="str">
        <f t="shared" si="39"/>
        <v/>
      </c>
      <c r="BQ120" t="str">
        <f t="shared" si="40"/>
        <v/>
      </c>
      <c r="BR120" t="str">
        <f t="shared" si="41"/>
        <v/>
      </c>
      <c r="BS120" t="str">
        <f t="shared" si="42"/>
        <v/>
      </c>
      <c r="BT120" t="str">
        <f t="shared" si="43"/>
        <v/>
      </c>
      <c r="BU120" t="str">
        <f t="shared" si="44"/>
        <v/>
      </c>
      <c r="BV120" t="str">
        <f t="shared" si="45"/>
        <v/>
      </c>
      <c r="BW120" t="str">
        <f t="shared" si="46"/>
        <v/>
      </c>
      <c r="BX120" t="str">
        <f t="shared" si="47"/>
        <v/>
      </c>
      <c r="BY120" t="str">
        <f t="shared" si="48"/>
        <v/>
      </c>
      <c r="BZ120" t="str">
        <f t="shared" si="49"/>
        <v/>
      </c>
      <c r="CA120" t="str">
        <f t="shared" si="50"/>
        <v/>
      </c>
      <c r="CB120" t="str">
        <f t="shared" si="51"/>
        <v/>
      </c>
      <c r="CC120" t="str">
        <f t="shared" si="52"/>
        <v/>
      </c>
      <c r="CD120" t="str">
        <f t="shared" si="53"/>
        <v/>
      </c>
    </row>
    <row r="121" spans="1:82" ht="33.6" customHeight="1" x14ac:dyDescent="0.3">
      <c r="A121" s="4"/>
      <c r="B121" s="4"/>
      <c r="C121" s="4"/>
      <c r="D121" s="5"/>
      <c r="E121" s="6"/>
      <c r="F121" s="5"/>
      <c r="G121" s="6"/>
      <c r="H121" s="5"/>
      <c r="I121" s="21"/>
      <c r="J121" s="5"/>
      <c r="K121" s="6"/>
      <c r="L121" s="5"/>
      <c r="M121" s="6"/>
      <c r="N121" s="5"/>
      <c r="O121" s="6"/>
      <c r="P121" s="5"/>
      <c r="Q121" s="6"/>
      <c r="R121" s="5"/>
      <c r="S121" s="6"/>
      <c r="T121" s="5"/>
      <c r="U121" s="21"/>
      <c r="V121" s="5"/>
      <c r="W121" s="6"/>
      <c r="X121" s="5"/>
      <c r="Y121" s="6"/>
      <c r="Z121" s="5"/>
      <c r="AA121" s="6"/>
      <c r="AB121" s="5"/>
      <c r="AC121" s="6"/>
      <c r="AD121" s="5"/>
      <c r="AE121" s="6"/>
      <c r="AF121" s="5"/>
      <c r="AG121" s="21"/>
      <c r="AH121" s="5"/>
      <c r="AI121" s="6"/>
      <c r="AJ121" s="5"/>
      <c r="AK121" s="6"/>
      <c r="AL121" s="5"/>
      <c r="AM121" s="21"/>
      <c r="AN121" s="5"/>
      <c r="AO121" s="6"/>
      <c r="AP121" s="5"/>
      <c r="AQ121" s="6"/>
      <c r="AR121" s="5"/>
      <c r="AS121" s="21"/>
      <c r="AT121" s="5"/>
      <c r="AU121" s="6"/>
      <c r="AV121" s="5"/>
      <c r="AW121" s="6"/>
      <c r="AX121" s="5"/>
      <c r="AY121" s="21"/>
      <c r="AZ121" s="6"/>
      <c r="BA121" s="6"/>
      <c r="BB121" s="6"/>
      <c r="BC121" s="7" t="str">
        <f t="shared" si="54"/>
        <v/>
      </c>
      <c r="BD121" s="7" t="str">
        <f t="shared" si="55"/>
        <v/>
      </c>
      <c r="BE121" s="4"/>
      <c r="BF121" s="16"/>
      <c r="BG121" s="16" t="str">
        <f t="shared" si="30"/>
        <v/>
      </c>
      <c r="BH121" s="16" t="str">
        <f t="shared" si="31"/>
        <v/>
      </c>
      <c r="BI121" s="16" t="str">
        <f t="shared" si="32"/>
        <v/>
      </c>
      <c r="BJ121" s="16" t="str">
        <f t="shared" si="33"/>
        <v/>
      </c>
      <c r="BK121" t="str">
        <f t="shared" si="34"/>
        <v/>
      </c>
      <c r="BL121" t="str">
        <f t="shared" si="35"/>
        <v/>
      </c>
      <c r="BM121" t="str">
        <f t="shared" si="36"/>
        <v/>
      </c>
      <c r="BN121" t="str">
        <f t="shared" si="37"/>
        <v/>
      </c>
      <c r="BO121" t="str">
        <f t="shared" si="38"/>
        <v/>
      </c>
      <c r="BP121" t="str">
        <f t="shared" si="39"/>
        <v/>
      </c>
      <c r="BQ121" t="str">
        <f t="shared" si="40"/>
        <v/>
      </c>
      <c r="BR121" t="str">
        <f t="shared" si="41"/>
        <v/>
      </c>
      <c r="BS121" t="str">
        <f t="shared" si="42"/>
        <v/>
      </c>
      <c r="BT121" t="str">
        <f t="shared" si="43"/>
        <v/>
      </c>
      <c r="BU121" t="str">
        <f t="shared" si="44"/>
        <v/>
      </c>
      <c r="BV121" t="str">
        <f t="shared" si="45"/>
        <v/>
      </c>
      <c r="BW121" t="str">
        <f t="shared" si="46"/>
        <v/>
      </c>
      <c r="BX121" t="str">
        <f t="shared" si="47"/>
        <v/>
      </c>
      <c r="BY121" t="str">
        <f t="shared" si="48"/>
        <v/>
      </c>
      <c r="BZ121" t="str">
        <f t="shared" si="49"/>
        <v/>
      </c>
      <c r="CA121" t="str">
        <f t="shared" si="50"/>
        <v/>
      </c>
      <c r="CB121" t="str">
        <f t="shared" si="51"/>
        <v/>
      </c>
      <c r="CC121" t="str">
        <f t="shared" si="52"/>
        <v/>
      </c>
      <c r="CD121" t="str">
        <f t="shared" si="53"/>
        <v/>
      </c>
    </row>
    <row r="122" spans="1:82" ht="33.6" customHeight="1" x14ac:dyDescent="0.3">
      <c r="A122" s="4"/>
      <c r="B122" s="4"/>
      <c r="C122" s="4"/>
      <c r="D122" s="5"/>
      <c r="E122" s="6"/>
      <c r="F122" s="5"/>
      <c r="G122" s="6"/>
      <c r="H122" s="5"/>
      <c r="I122" s="21"/>
      <c r="J122" s="5"/>
      <c r="K122" s="6"/>
      <c r="L122" s="5"/>
      <c r="M122" s="6"/>
      <c r="N122" s="5"/>
      <c r="O122" s="6"/>
      <c r="P122" s="5"/>
      <c r="Q122" s="6"/>
      <c r="R122" s="5"/>
      <c r="S122" s="6"/>
      <c r="T122" s="5"/>
      <c r="U122" s="21"/>
      <c r="V122" s="5"/>
      <c r="W122" s="6"/>
      <c r="X122" s="5"/>
      <c r="Y122" s="6"/>
      <c r="Z122" s="5"/>
      <c r="AA122" s="6"/>
      <c r="AB122" s="5"/>
      <c r="AC122" s="6"/>
      <c r="AD122" s="5"/>
      <c r="AE122" s="6"/>
      <c r="AF122" s="5"/>
      <c r="AG122" s="21"/>
      <c r="AH122" s="5"/>
      <c r="AI122" s="6"/>
      <c r="AJ122" s="5"/>
      <c r="AK122" s="6"/>
      <c r="AL122" s="5"/>
      <c r="AM122" s="21"/>
      <c r="AN122" s="5"/>
      <c r="AO122" s="6"/>
      <c r="AP122" s="5"/>
      <c r="AQ122" s="6"/>
      <c r="AR122" s="5"/>
      <c r="AS122" s="21"/>
      <c r="AT122" s="5"/>
      <c r="AU122" s="6"/>
      <c r="AV122" s="5"/>
      <c r="AW122" s="6"/>
      <c r="AX122" s="5"/>
      <c r="AY122" s="21"/>
      <c r="AZ122" s="6"/>
      <c r="BA122" s="6"/>
      <c r="BB122" s="6"/>
      <c r="BC122" s="7" t="str">
        <f t="shared" si="54"/>
        <v/>
      </c>
      <c r="BD122" s="7" t="str">
        <f t="shared" si="55"/>
        <v/>
      </c>
      <c r="BE122" s="4"/>
      <c r="BF122" s="16"/>
      <c r="BG122" s="16" t="str">
        <f t="shared" si="30"/>
        <v/>
      </c>
      <c r="BH122" s="16" t="str">
        <f t="shared" si="31"/>
        <v/>
      </c>
      <c r="BI122" s="16" t="str">
        <f t="shared" si="32"/>
        <v/>
      </c>
      <c r="BJ122" s="16" t="str">
        <f t="shared" si="33"/>
        <v/>
      </c>
      <c r="BK122" t="str">
        <f t="shared" si="34"/>
        <v/>
      </c>
      <c r="BL122" t="str">
        <f t="shared" si="35"/>
        <v/>
      </c>
      <c r="BM122" t="str">
        <f t="shared" si="36"/>
        <v/>
      </c>
      <c r="BN122" t="str">
        <f t="shared" si="37"/>
        <v/>
      </c>
      <c r="BO122" t="str">
        <f t="shared" si="38"/>
        <v/>
      </c>
      <c r="BP122" t="str">
        <f t="shared" si="39"/>
        <v/>
      </c>
      <c r="BQ122" t="str">
        <f t="shared" si="40"/>
        <v/>
      </c>
      <c r="BR122" t="str">
        <f t="shared" si="41"/>
        <v/>
      </c>
      <c r="BS122" t="str">
        <f t="shared" si="42"/>
        <v/>
      </c>
      <c r="BT122" t="str">
        <f t="shared" si="43"/>
        <v/>
      </c>
      <c r="BU122" t="str">
        <f t="shared" si="44"/>
        <v/>
      </c>
      <c r="BV122" t="str">
        <f t="shared" si="45"/>
        <v/>
      </c>
      <c r="BW122" t="str">
        <f t="shared" si="46"/>
        <v/>
      </c>
      <c r="BX122" t="str">
        <f t="shared" si="47"/>
        <v/>
      </c>
      <c r="BY122" t="str">
        <f t="shared" si="48"/>
        <v/>
      </c>
      <c r="BZ122" t="str">
        <f t="shared" si="49"/>
        <v/>
      </c>
      <c r="CA122" t="str">
        <f t="shared" si="50"/>
        <v/>
      </c>
      <c r="CB122" t="str">
        <f t="shared" si="51"/>
        <v/>
      </c>
      <c r="CC122" t="str">
        <f t="shared" si="52"/>
        <v/>
      </c>
      <c r="CD122" t="str">
        <f t="shared" si="53"/>
        <v/>
      </c>
    </row>
    <row r="123" spans="1:82" ht="33.6" customHeight="1" x14ac:dyDescent="0.3">
      <c r="A123" s="4"/>
      <c r="B123" s="4"/>
      <c r="C123" s="4"/>
      <c r="D123" s="5"/>
      <c r="E123" s="6"/>
      <c r="F123" s="5"/>
      <c r="G123" s="6"/>
      <c r="H123" s="5"/>
      <c r="I123" s="21"/>
      <c r="J123" s="5"/>
      <c r="K123" s="6"/>
      <c r="L123" s="5"/>
      <c r="M123" s="6"/>
      <c r="N123" s="5"/>
      <c r="O123" s="6"/>
      <c r="P123" s="5"/>
      <c r="Q123" s="6"/>
      <c r="R123" s="5"/>
      <c r="S123" s="6"/>
      <c r="T123" s="5"/>
      <c r="U123" s="21"/>
      <c r="V123" s="5"/>
      <c r="W123" s="6"/>
      <c r="X123" s="5"/>
      <c r="Y123" s="6"/>
      <c r="Z123" s="5"/>
      <c r="AA123" s="6"/>
      <c r="AB123" s="5"/>
      <c r="AC123" s="6"/>
      <c r="AD123" s="5"/>
      <c r="AE123" s="6"/>
      <c r="AF123" s="5"/>
      <c r="AG123" s="21"/>
      <c r="AH123" s="5"/>
      <c r="AI123" s="6"/>
      <c r="AJ123" s="5"/>
      <c r="AK123" s="6"/>
      <c r="AL123" s="5"/>
      <c r="AM123" s="21"/>
      <c r="AN123" s="5"/>
      <c r="AO123" s="6"/>
      <c r="AP123" s="5"/>
      <c r="AQ123" s="6"/>
      <c r="AR123" s="5"/>
      <c r="AS123" s="21"/>
      <c r="AT123" s="5"/>
      <c r="AU123" s="6"/>
      <c r="AV123" s="5"/>
      <c r="AW123" s="6"/>
      <c r="AX123" s="5"/>
      <c r="AY123" s="21"/>
      <c r="AZ123" s="6"/>
      <c r="BA123" s="6"/>
      <c r="BB123" s="6"/>
      <c r="BC123" s="7" t="str">
        <f t="shared" si="54"/>
        <v/>
      </c>
      <c r="BD123" s="7" t="str">
        <f t="shared" si="55"/>
        <v/>
      </c>
      <c r="BE123" s="4"/>
      <c r="BF123" s="16"/>
      <c r="BG123" s="16" t="str">
        <f t="shared" si="30"/>
        <v/>
      </c>
      <c r="BH123" s="16" t="str">
        <f t="shared" si="31"/>
        <v/>
      </c>
      <c r="BI123" s="16" t="str">
        <f t="shared" si="32"/>
        <v/>
      </c>
      <c r="BJ123" s="16" t="str">
        <f t="shared" si="33"/>
        <v/>
      </c>
      <c r="BK123" t="str">
        <f t="shared" si="34"/>
        <v/>
      </c>
      <c r="BL123" t="str">
        <f t="shared" si="35"/>
        <v/>
      </c>
      <c r="BM123" t="str">
        <f t="shared" si="36"/>
        <v/>
      </c>
      <c r="BN123" t="str">
        <f t="shared" si="37"/>
        <v/>
      </c>
      <c r="BO123" t="str">
        <f t="shared" si="38"/>
        <v/>
      </c>
      <c r="BP123" t="str">
        <f t="shared" si="39"/>
        <v/>
      </c>
      <c r="BQ123" t="str">
        <f t="shared" si="40"/>
        <v/>
      </c>
      <c r="BR123" t="str">
        <f t="shared" si="41"/>
        <v/>
      </c>
      <c r="BS123" t="str">
        <f t="shared" si="42"/>
        <v/>
      </c>
      <c r="BT123" t="str">
        <f t="shared" si="43"/>
        <v/>
      </c>
      <c r="BU123" t="str">
        <f t="shared" si="44"/>
        <v/>
      </c>
      <c r="BV123" t="str">
        <f t="shared" si="45"/>
        <v/>
      </c>
      <c r="BW123" t="str">
        <f t="shared" si="46"/>
        <v/>
      </c>
      <c r="BX123" t="str">
        <f t="shared" si="47"/>
        <v/>
      </c>
      <c r="BY123" t="str">
        <f t="shared" si="48"/>
        <v/>
      </c>
      <c r="BZ123" t="str">
        <f t="shared" si="49"/>
        <v/>
      </c>
      <c r="CA123" t="str">
        <f t="shared" si="50"/>
        <v/>
      </c>
      <c r="CB123" t="str">
        <f t="shared" si="51"/>
        <v/>
      </c>
      <c r="CC123" t="str">
        <f t="shared" si="52"/>
        <v/>
      </c>
      <c r="CD123" t="str">
        <f t="shared" si="53"/>
        <v/>
      </c>
    </row>
    <row r="124" spans="1:82" ht="33.6" customHeight="1" x14ac:dyDescent="0.3">
      <c r="A124" s="4"/>
      <c r="B124" s="4"/>
      <c r="C124" s="4"/>
      <c r="D124" s="5"/>
      <c r="E124" s="6"/>
      <c r="F124" s="5"/>
      <c r="G124" s="6"/>
      <c r="H124" s="5"/>
      <c r="I124" s="21"/>
      <c r="J124" s="5"/>
      <c r="K124" s="6"/>
      <c r="L124" s="5"/>
      <c r="M124" s="6"/>
      <c r="N124" s="5"/>
      <c r="O124" s="6"/>
      <c r="P124" s="5"/>
      <c r="Q124" s="6"/>
      <c r="R124" s="5"/>
      <c r="S124" s="6"/>
      <c r="T124" s="5"/>
      <c r="U124" s="21"/>
      <c r="V124" s="5"/>
      <c r="W124" s="6"/>
      <c r="X124" s="5"/>
      <c r="Y124" s="6"/>
      <c r="Z124" s="5"/>
      <c r="AA124" s="6"/>
      <c r="AB124" s="5"/>
      <c r="AC124" s="6"/>
      <c r="AD124" s="5"/>
      <c r="AE124" s="6"/>
      <c r="AF124" s="5"/>
      <c r="AG124" s="21"/>
      <c r="AH124" s="5"/>
      <c r="AI124" s="6"/>
      <c r="AJ124" s="5"/>
      <c r="AK124" s="6"/>
      <c r="AL124" s="5"/>
      <c r="AM124" s="21"/>
      <c r="AN124" s="5"/>
      <c r="AO124" s="6"/>
      <c r="AP124" s="5"/>
      <c r="AQ124" s="6"/>
      <c r="AR124" s="5"/>
      <c r="AS124" s="21"/>
      <c r="AT124" s="5"/>
      <c r="AU124" s="6"/>
      <c r="AV124" s="5"/>
      <c r="AW124" s="6"/>
      <c r="AX124" s="5"/>
      <c r="AY124" s="21"/>
      <c r="AZ124" s="6"/>
      <c r="BA124" s="6"/>
      <c r="BB124" s="6"/>
      <c r="BC124" s="7" t="str">
        <f t="shared" si="54"/>
        <v/>
      </c>
      <c r="BD124" s="7" t="str">
        <f t="shared" si="55"/>
        <v/>
      </c>
      <c r="BE124" s="4"/>
      <c r="BF124" s="16"/>
      <c r="BG124" s="16" t="str">
        <f t="shared" si="30"/>
        <v/>
      </c>
      <c r="BH124" s="16" t="str">
        <f t="shared" si="31"/>
        <v/>
      </c>
      <c r="BI124" s="16" t="str">
        <f t="shared" si="32"/>
        <v/>
      </c>
      <c r="BJ124" s="16" t="str">
        <f t="shared" si="33"/>
        <v/>
      </c>
      <c r="BK124" t="str">
        <f t="shared" si="34"/>
        <v/>
      </c>
      <c r="BL124" t="str">
        <f t="shared" si="35"/>
        <v/>
      </c>
      <c r="BM124" t="str">
        <f t="shared" si="36"/>
        <v/>
      </c>
      <c r="BN124" t="str">
        <f t="shared" si="37"/>
        <v/>
      </c>
      <c r="BO124" t="str">
        <f t="shared" si="38"/>
        <v/>
      </c>
      <c r="BP124" t="str">
        <f t="shared" si="39"/>
        <v/>
      </c>
      <c r="BQ124" t="str">
        <f t="shared" si="40"/>
        <v/>
      </c>
      <c r="BR124" t="str">
        <f t="shared" si="41"/>
        <v/>
      </c>
      <c r="BS124" t="str">
        <f t="shared" si="42"/>
        <v/>
      </c>
      <c r="BT124" t="str">
        <f t="shared" si="43"/>
        <v/>
      </c>
      <c r="BU124" t="str">
        <f t="shared" si="44"/>
        <v/>
      </c>
      <c r="BV124" t="str">
        <f t="shared" si="45"/>
        <v/>
      </c>
      <c r="BW124" t="str">
        <f t="shared" si="46"/>
        <v/>
      </c>
      <c r="BX124" t="str">
        <f t="shared" si="47"/>
        <v/>
      </c>
      <c r="BY124" t="str">
        <f t="shared" si="48"/>
        <v/>
      </c>
      <c r="BZ124" t="str">
        <f t="shared" si="49"/>
        <v/>
      </c>
      <c r="CA124" t="str">
        <f t="shared" si="50"/>
        <v/>
      </c>
      <c r="CB124" t="str">
        <f t="shared" si="51"/>
        <v/>
      </c>
      <c r="CC124" t="str">
        <f t="shared" si="52"/>
        <v/>
      </c>
      <c r="CD124" t="str">
        <f t="shared" si="53"/>
        <v/>
      </c>
    </row>
    <row r="125" spans="1:82" ht="33.6" customHeight="1" x14ac:dyDescent="0.3">
      <c r="A125" s="4"/>
      <c r="B125" s="4"/>
      <c r="C125" s="4"/>
      <c r="D125" s="5"/>
      <c r="E125" s="6"/>
      <c r="F125" s="5"/>
      <c r="G125" s="6"/>
      <c r="H125" s="5"/>
      <c r="I125" s="21"/>
      <c r="J125" s="5"/>
      <c r="K125" s="6"/>
      <c r="L125" s="5"/>
      <c r="M125" s="6"/>
      <c r="N125" s="5"/>
      <c r="O125" s="6"/>
      <c r="P125" s="5"/>
      <c r="Q125" s="6"/>
      <c r="R125" s="5"/>
      <c r="S125" s="6"/>
      <c r="T125" s="5"/>
      <c r="U125" s="21"/>
      <c r="V125" s="5"/>
      <c r="W125" s="6"/>
      <c r="X125" s="5"/>
      <c r="Y125" s="6"/>
      <c r="Z125" s="5"/>
      <c r="AA125" s="6"/>
      <c r="AB125" s="5"/>
      <c r="AC125" s="6"/>
      <c r="AD125" s="5"/>
      <c r="AE125" s="6"/>
      <c r="AF125" s="5"/>
      <c r="AG125" s="21"/>
      <c r="AH125" s="5"/>
      <c r="AI125" s="6"/>
      <c r="AJ125" s="5"/>
      <c r="AK125" s="6"/>
      <c r="AL125" s="5"/>
      <c r="AM125" s="21"/>
      <c r="AN125" s="5"/>
      <c r="AO125" s="6"/>
      <c r="AP125" s="5"/>
      <c r="AQ125" s="6"/>
      <c r="AR125" s="5"/>
      <c r="AS125" s="21"/>
      <c r="AT125" s="5"/>
      <c r="AU125" s="6"/>
      <c r="AV125" s="5"/>
      <c r="AW125" s="6"/>
      <c r="AX125" s="5"/>
      <c r="AY125" s="21"/>
      <c r="AZ125" s="6"/>
      <c r="BA125" s="6"/>
      <c r="BB125" s="6"/>
      <c r="BC125" s="7" t="str">
        <f t="shared" si="54"/>
        <v/>
      </c>
      <c r="BD125" s="7" t="str">
        <f t="shared" si="55"/>
        <v/>
      </c>
      <c r="BE125" s="4"/>
      <c r="BF125" s="16"/>
      <c r="BG125" s="16" t="str">
        <f t="shared" si="30"/>
        <v/>
      </c>
      <c r="BH125" s="16" t="str">
        <f t="shared" si="31"/>
        <v/>
      </c>
      <c r="BI125" s="16" t="str">
        <f t="shared" si="32"/>
        <v/>
      </c>
      <c r="BJ125" s="16" t="str">
        <f t="shared" si="33"/>
        <v/>
      </c>
      <c r="BK125" t="str">
        <f t="shared" si="34"/>
        <v/>
      </c>
      <c r="BL125" t="str">
        <f t="shared" si="35"/>
        <v/>
      </c>
      <c r="BM125" t="str">
        <f t="shared" si="36"/>
        <v/>
      </c>
      <c r="BN125" t="str">
        <f t="shared" si="37"/>
        <v/>
      </c>
      <c r="BO125" t="str">
        <f t="shared" si="38"/>
        <v/>
      </c>
      <c r="BP125" t="str">
        <f t="shared" si="39"/>
        <v/>
      </c>
      <c r="BQ125" t="str">
        <f t="shared" si="40"/>
        <v/>
      </c>
      <c r="BR125" t="str">
        <f t="shared" si="41"/>
        <v/>
      </c>
      <c r="BS125" t="str">
        <f t="shared" si="42"/>
        <v/>
      </c>
      <c r="BT125" t="str">
        <f t="shared" si="43"/>
        <v/>
      </c>
      <c r="BU125" t="str">
        <f t="shared" si="44"/>
        <v/>
      </c>
      <c r="BV125" t="str">
        <f t="shared" si="45"/>
        <v/>
      </c>
      <c r="BW125" t="str">
        <f t="shared" si="46"/>
        <v/>
      </c>
      <c r="BX125" t="str">
        <f t="shared" si="47"/>
        <v/>
      </c>
      <c r="BY125" t="str">
        <f t="shared" si="48"/>
        <v/>
      </c>
      <c r="BZ125" t="str">
        <f t="shared" si="49"/>
        <v/>
      </c>
      <c r="CA125" t="str">
        <f t="shared" si="50"/>
        <v/>
      </c>
      <c r="CB125" t="str">
        <f t="shared" si="51"/>
        <v/>
      </c>
      <c r="CC125" t="str">
        <f t="shared" si="52"/>
        <v/>
      </c>
      <c r="CD125" t="str">
        <f t="shared" si="53"/>
        <v/>
      </c>
    </row>
    <row r="126" spans="1:82" ht="33.6" customHeight="1" x14ac:dyDescent="0.3">
      <c r="A126" s="4"/>
      <c r="B126" s="4"/>
      <c r="C126" s="4"/>
      <c r="D126" s="5"/>
      <c r="E126" s="6"/>
      <c r="F126" s="5"/>
      <c r="G126" s="6"/>
      <c r="H126" s="5"/>
      <c r="I126" s="21"/>
      <c r="J126" s="5"/>
      <c r="K126" s="6"/>
      <c r="L126" s="5"/>
      <c r="M126" s="6"/>
      <c r="N126" s="5"/>
      <c r="O126" s="6"/>
      <c r="P126" s="5"/>
      <c r="Q126" s="6"/>
      <c r="R126" s="5"/>
      <c r="S126" s="6"/>
      <c r="T126" s="5"/>
      <c r="U126" s="21"/>
      <c r="V126" s="5"/>
      <c r="W126" s="6"/>
      <c r="X126" s="5"/>
      <c r="Y126" s="6"/>
      <c r="Z126" s="5"/>
      <c r="AA126" s="6"/>
      <c r="AB126" s="5"/>
      <c r="AC126" s="6"/>
      <c r="AD126" s="5"/>
      <c r="AE126" s="6"/>
      <c r="AF126" s="5"/>
      <c r="AG126" s="21"/>
      <c r="AH126" s="5"/>
      <c r="AI126" s="6"/>
      <c r="AJ126" s="5"/>
      <c r="AK126" s="6"/>
      <c r="AL126" s="5"/>
      <c r="AM126" s="21"/>
      <c r="AN126" s="5"/>
      <c r="AO126" s="6"/>
      <c r="AP126" s="5"/>
      <c r="AQ126" s="6"/>
      <c r="AR126" s="5"/>
      <c r="AS126" s="21"/>
      <c r="AT126" s="5"/>
      <c r="AU126" s="6"/>
      <c r="AV126" s="5"/>
      <c r="AW126" s="6"/>
      <c r="AX126" s="5"/>
      <c r="AY126" s="21"/>
      <c r="AZ126" s="6"/>
      <c r="BA126" s="6"/>
      <c r="BB126" s="6"/>
      <c r="BC126" s="7" t="str">
        <f t="shared" si="54"/>
        <v/>
      </c>
      <c r="BD126" s="7" t="str">
        <f t="shared" si="55"/>
        <v/>
      </c>
      <c r="BE126" s="4"/>
      <c r="BF126" s="16"/>
      <c r="BG126" s="16" t="str">
        <f t="shared" si="30"/>
        <v/>
      </c>
      <c r="BH126" s="16" t="str">
        <f t="shared" si="31"/>
        <v/>
      </c>
      <c r="BI126" s="16" t="str">
        <f t="shared" si="32"/>
        <v/>
      </c>
      <c r="BJ126" s="16" t="str">
        <f t="shared" si="33"/>
        <v/>
      </c>
      <c r="BK126" t="str">
        <f t="shared" si="34"/>
        <v/>
      </c>
      <c r="BL126" t="str">
        <f t="shared" si="35"/>
        <v/>
      </c>
      <c r="BM126" t="str">
        <f t="shared" si="36"/>
        <v/>
      </c>
      <c r="BN126" t="str">
        <f t="shared" si="37"/>
        <v/>
      </c>
      <c r="BO126" t="str">
        <f t="shared" si="38"/>
        <v/>
      </c>
      <c r="BP126" t="str">
        <f t="shared" si="39"/>
        <v/>
      </c>
      <c r="BQ126" t="str">
        <f t="shared" si="40"/>
        <v/>
      </c>
      <c r="BR126" t="str">
        <f t="shared" si="41"/>
        <v/>
      </c>
      <c r="BS126" t="str">
        <f t="shared" si="42"/>
        <v/>
      </c>
      <c r="BT126" t="str">
        <f t="shared" si="43"/>
        <v/>
      </c>
      <c r="BU126" t="str">
        <f t="shared" si="44"/>
        <v/>
      </c>
      <c r="BV126" t="str">
        <f t="shared" si="45"/>
        <v/>
      </c>
      <c r="BW126" t="str">
        <f t="shared" si="46"/>
        <v/>
      </c>
      <c r="BX126" t="str">
        <f t="shared" si="47"/>
        <v/>
      </c>
      <c r="BY126" t="str">
        <f t="shared" si="48"/>
        <v/>
      </c>
      <c r="BZ126" t="str">
        <f t="shared" si="49"/>
        <v/>
      </c>
      <c r="CA126" t="str">
        <f t="shared" si="50"/>
        <v/>
      </c>
      <c r="CB126" t="str">
        <f t="shared" si="51"/>
        <v/>
      </c>
      <c r="CC126" t="str">
        <f t="shared" si="52"/>
        <v/>
      </c>
      <c r="CD126" t="str">
        <f t="shared" si="53"/>
        <v/>
      </c>
    </row>
    <row r="127" spans="1:82" ht="33.6" customHeight="1" x14ac:dyDescent="0.3">
      <c r="A127" s="4"/>
      <c r="B127" s="4"/>
      <c r="C127" s="4"/>
      <c r="D127" s="5"/>
      <c r="E127" s="6"/>
      <c r="F127" s="5"/>
      <c r="G127" s="6"/>
      <c r="H127" s="5"/>
      <c r="I127" s="21"/>
      <c r="J127" s="5"/>
      <c r="K127" s="6"/>
      <c r="L127" s="5"/>
      <c r="M127" s="6"/>
      <c r="N127" s="5"/>
      <c r="O127" s="6"/>
      <c r="P127" s="5"/>
      <c r="Q127" s="6"/>
      <c r="R127" s="5"/>
      <c r="S127" s="6"/>
      <c r="T127" s="5"/>
      <c r="U127" s="21"/>
      <c r="V127" s="5"/>
      <c r="W127" s="6"/>
      <c r="X127" s="5"/>
      <c r="Y127" s="6"/>
      <c r="Z127" s="5"/>
      <c r="AA127" s="6"/>
      <c r="AB127" s="5"/>
      <c r="AC127" s="6"/>
      <c r="AD127" s="5"/>
      <c r="AE127" s="6"/>
      <c r="AF127" s="5"/>
      <c r="AG127" s="21"/>
      <c r="AH127" s="5"/>
      <c r="AI127" s="6"/>
      <c r="AJ127" s="5"/>
      <c r="AK127" s="6"/>
      <c r="AL127" s="5"/>
      <c r="AM127" s="21"/>
      <c r="AN127" s="5"/>
      <c r="AO127" s="6"/>
      <c r="AP127" s="5"/>
      <c r="AQ127" s="6"/>
      <c r="AR127" s="5"/>
      <c r="AS127" s="21"/>
      <c r="AT127" s="5"/>
      <c r="AU127" s="6"/>
      <c r="AV127" s="5"/>
      <c r="AW127" s="6"/>
      <c r="AX127" s="5"/>
      <c r="AY127" s="21"/>
      <c r="AZ127" s="6"/>
      <c r="BA127" s="6"/>
      <c r="BB127" s="6"/>
      <c r="BC127" s="7" t="str">
        <f t="shared" si="54"/>
        <v/>
      </c>
      <c r="BD127" s="7" t="str">
        <f t="shared" si="55"/>
        <v/>
      </c>
      <c r="BE127" s="4"/>
      <c r="BF127" s="16"/>
      <c r="BG127" s="16" t="str">
        <f t="shared" si="30"/>
        <v/>
      </c>
      <c r="BH127" s="16" t="str">
        <f t="shared" si="31"/>
        <v/>
      </c>
      <c r="BI127" s="16" t="str">
        <f t="shared" si="32"/>
        <v/>
      </c>
      <c r="BJ127" s="16" t="str">
        <f t="shared" si="33"/>
        <v/>
      </c>
      <c r="BK127" t="str">
        <f t="shared" si="34"/>
        <v/>
      </c>
      <c r="BL127" t="str">
        <f t="shared" si="35"/>
        <v/>
      </c>
      <c r="BM127" t="str">
        <f t="shared" si="36"/>
        <v/>
      </c>
      <c r="BN127" t="str">
        <f t="shared" si="37"/>
        <v/>
      </c>
      <c r="BO127" t="str">
        <f t="shared" si="38"/>
        <v/>
      </c>
      <c r="BP127" t="str">
        <f t="shared" si="39"/>
        <v/>
      </c>
      <c r="BQ127" t="str">
        <f t="shared" si="40"/>
        <v/>
      </c>
      <c r="BR127" t="str">
        <f t="shared" si="41"/>
        <v/>
      </c>
      <c r="BS127" t="str">
        <f t="shared" si="42"/>
        <v/>
      </c>
      <c r="BT127" t="str">
        <f t="shared" si="43"/>
        <v/>
      </c>
      <c r="BU127" t="str">
        <f t="shared" si="44"/>
        <v/>
      </c>
      <c r="BV127" t="str">
        <f t="shared" si="45"/>
        <v/>
      </c>
      <c r="BW127" t="str">
        <f t="shared" si="46"/>
        <v/>
      </c>
      <c r="BX127" t="str">
        <f t="shared" si="47"/>
        <v/>
      </c>
      <c r="BY127" t="str">
        <f t="shared" si="48"/>
        <v/>
      </c>
      <c r="BZ127" t="str">
        <f t="shared" si="49"/>
        <v/>
      </c>
      <c r="CA127" t="str">
        <f t="shared" si="50"/>
        <v/>
      </c>
      <c r="CB127" t="str">
        <f t="shared" si="51"/>
        <v/>
      </c>
      <c r="CC127" t="str">
        <f t="shared" si="52"/>
        <v/>
      </c>
      <c r="CD127" t="str">
        <f t="shared" si="53"/>
        <v/>
      </c>
    </row>
    <row r="128" spans="1:82" ht="33.6" customHeight="1" x14ac:dyDescent="0.3">
      <c r="A128" s="4"/>
      <c r="B128" s="4"/>
      <c r="C128" s="4"/>
      <c r="D128" s="5"/>
      <c r="E128" s="6"/>
      <c r="F128" s="5"/>
      <c r="G128" s="6"/>
      <c r="H128" s="5"/>
      <c r="I128" s="21"/>
      <c r="J128" s="5"/>
      <c r="K128" s="6"/>
      <c r="L128" s="5"/>
      <c r="M128" s="6"/>
      <c r="N128" s="5"/>
      <c r="O128" s="6"/>
      <c r="P128" s="5"/>
      <c r="Q128" s="6"/>
      <c r="R128" s="5"/>
      <c r="S128" s="6"/>
      <c r="T128" s="5"/>
      <c r="U128" s="21"/>
      <c r="V128" s="5"/>
      <c r="W128" s="6"/>
      <c r="X128" s="5"/>
      <c r="Y128" s="6"/>
      <c r="Z128" s="5"/>
      <c r="AA128" s="6"/>
      <c r="AB128" s="5"/>
      <c r="AC128" s="6"/>
      <c r="AD128" s="5"/>
      <c r="AE128" s="6"/>
      <c r="AF128" s="5"/>
      <c r="AG128" s="21"/>
      <c r="AH128" s="5"/>
      <c r="AI128" s="6"/>
      <c r="AJ128" s="5"/>
      <c r="AK128" s="6"/>
      <c r="AL128" s="5"/>
      <c r="AM128" s="21"/>
      <c r="AN128" s="5"/>
      <c r="AO128" s="6"/>
      <c r="AP128" s="5"/>
      <c r="AQ128" s="6"/>
      <c r="AR128" s="5"/>
      <c r="AS128" s="21"/>
      <c r="AT128" s="5"/>
      <c r="AU128" s="6"/>
      <c r="AV128" s="5"/>
      <c r="AW128" s="6"/>
      <c r="AX128" s="5"/>
      <c r="AY128" s="21"/>
      <c r="AZ128" s="6"/>
      <c r="BA128" s="6"/>
      <c r="BB128" s="6"/>
      <c r="BC128" s="7" t="str">
        <f t="shared" si="54"/>
        <v/>
      </c>
      <c r="BD128" s="7" t="str">
        <f t="shared" si="55"/>
        <v/>
      </c>
      <c r="BE128" s="4"/>
      <c r="BF128" s="16"/>
      <c r="BG128" s="16" t="str">
        <f t="shared" si="30"/>
        <v/>
      </c>
      <c r="BH128" s="16" t="str">
        <f t="shared" si="31"/>
        <v/>
      </c>
      <c r="BI128" s="16" t="str">
        <f t="shared" si="32"/>
        <v/>
      </c>
      <c r="BJ128" s="16" t="str">
        <f t="shared" si="33"/>
        <v/>
      </c>
      <c r="BK128" t="str">
        <f t="shared" si="34"/>
        <v/>
      </c>
      <c r="BL128" t="str">
        <f t="shared" si="35"/>
        <v/>
      </c>
      <c r="BM128" t="str">
        <f t="shared" si="36"/>
        <v/>
      </c>
      <c r="BN128" t="str">
        <f t="shared" si="37"/>
        <v/>
      </c>
      <c r="BO128" t="str">
        <f t="shared" si="38"/>
        <v/>
      </c>
      <c r="BP128" t="str">
        <f t="shared" si="39"/>
        <v/>
      </c>
      <c r="BQ128" t="str">
        <f t="shared" si="40"/>
        <v/>
      </c>
      <c r="BR128" t="str">
        <f t="shared" si="41"/>
        <v/>
      </c>
      <c r="BS128" t="str">
        <f t="shared" si="42"/>
        <v/>
      </c>
      <c r="BT128" t="str">
        <f t="shared" si="43"/>
        <v/>
      </c>
      <c r="BU128" t="str">
        <f t="shared" si="44"/>
        <v/>
      </c>
      <c r="BV128" t="str">
        <f t="shared" si="45"/>
        <v/>
      </c>
      <c r="BW128" t="str">
        <f t="shared" si="46"/>
        <v/>
      </c>
      <c r="BX128" t="str">
        <f t="shared" si="47"/>
        <v/>
      </c>
      <c r="BY128" t="str">
        <f t="shared" si="48"/>
        <v/>
      </c>
      <c r="BZ128" t="str">
        <f t="shared" si="49"/>
        <v/>
      </c>
      <c r="CA128" t="str">
        <f t="shared" si="50"/>
        <v/>
      </c>
      <c r="CB128" t="str">
        <f t="shared" si="51"/>
        <v/>
      </c>
      <c r="CC128" t="str">
        <f t="shared" si="52"/>
        <v/>
      </c>
      <c r="CD128" t="str">
        <f t="shared" si="53"/>
        <v/>
      </c>
    </row>
    <row r="129" spans="1:82" ht="33.6" customHeight="1" x14ac:dyDescent="0.3">
      <c r="A129" s="4"/>
      <c r="B129" s="4"/>
      <c r="C129" s="4"/>
      <c r="D129" s="5"/>
      <c r="E129" s="6"/>
      <c r="F129" s="5"/>
      <c r="G129" s="6"/>
      <c r="H129" s="5"/>
      <c r="I129" s="21"/>
      <c r="J129" s="5"/>
      <c r="K129" s="6"/>
      <c r="L129" s="5"/>
      <c r="M129" s="6"/>
      <c r="N129" s="5"/>
      <c r="O129" s="6"/>
      <c r="P129" s="5"/>
      <c r="Q129" s="6"/>
      <c r="R129" s="5"/>
      <c r="S129" s="6"/>
      <c r="T129" s="5"/>
      <c r="U129" s="21"/>
      <c r="V129" s="5"/>
      <c r="W129" s="6"/>
      <c r="X129" s="5"/>
      <c r="Y129" s="6"/>
      <c r="Z129" s="5"/>
      <c r="AA129" s="6"/>
      <c r="AB129" s="5"/>
      <c r="AC129" s="6"/>
      <c r="AD129" s="5"/>
      <c r="AE129" s="6"/>
      <c r="AF129" s="5"/>
      <c r="AG129" s="21"/>
      <c r="AH129" s="5"/>
      <c r="AI129" s="6"/>
      <c r="AJ129" s="5"/>
      <c r="AK129" s="6"/>
      <c r="AL129" s="5"/>
      <c r="AM129" s="21"/>
      <c r="AN129" s="5"/>
      <c r="AO129" s="6"/>
      <c r="AP129" s="5"/>
      <c r="AQ129" s="6"/>
      <c r="AR129" s="5"/>
      <c r="AS129" s="21"/>
      <c r="AT129" s="5"/>
      <c r="AU129" s="6"/>
      <c r="AV129" s="5"/>
      <c r="AW129" s="6"/>
      <c r="AX129" s="5"/>
      <c r="AY129" s="21"/>
      <c r="AZ129" s="6"/>
      <c r="BA129" s="6"/>
      <c r="BB129" s="6"/>
      <c r="BC129" s="7" t="str">
        <f t="shared" si="54"/>
        <v/>
      </c>
      <c r="BD129" s="7" t="str">
        <f t="shared" si="55"/>
        <v/>
      </c>
      <c r="BE129" s="4"/>
      <c r="BF129" s="16"/>
      <c r="BG129" s="16" t="str">
        <f t="shared" si="30"/>
        <v/>
      </c>
      <c r="BH129" s="16" t="str">
        <f t="shared" si="31"/>
        <v/>
      </c>
      <c r="BI129" s="16" t="str">
        <f t="shared" si="32"/>
        <v/>
      </c>
      <c r="BJ129" s="16" t="str">
        <f t="shared" si="33"/>
        <v/>
      </c>
      <c r="BK129" t="str">
        <f t="shared" si="34"/>
        <v/>
      </c>
      <c r="BL129" t="str">
        <f t="shared" si="35"/>
        <v/>
      </c>
      <c r="BM129" t="str">
        <f t="shared" si="36"/>
        <v/>
      </c>
      <c r="BN129" t="str">
        <f t="shared" si="37"/>
        <v/>
      </c>
      <c r="BO129" t="str">
        <f t="shared" si="38"/>
        <v/>
      </c>
      <c r="BP129" t="str">
        <f t="shared" si="39"/>
        <v/>
      </c>
      <c r="BQ129" t="str">
        <f t="shared" si="40"/>
        <v/>
      </c>
      <c r="BR129" t="str">
        <f t="shared" si="41"/>
        <v/>
      </c>
      <c r="BS129" t="str">
        <f t="shared" si="42"/>
        <v/>
      </c>
      <c r="BT129" t="str">
        <f t="shared" si="43"/>
        <v/>
      </c>
      <c r="BU129" t="str">
        <f t="shared" si="44"/>
        <v/>
      </c>
      <c r="BV129" t="str">
        <f t="shared" si="45"/>
        <v/>
      </c>
      <c r="BW129" t="str">
        <f t="shared" si="46"/>
        <v/>
      </c>
      <c r="BX129" t="str">
        <f t="shared" si="47"/>
        <v/>
      </c>
      <c r="BY129" t="str">
        <f t="shared" si="48"/>
        <v/>
      </c>
      <c r="BZ129" t="str">
        <f t="shared" si="49"/>
        <v/>
      </c>
      <c r="CA129" t="str">
        <f t="shared" si="50"/>
        <v/>
      </c>
      <c r="CB129" t="str">
        <f t="shared" si="51"/>
        <v/>
      </c>
      <c r="CC129" t="str">
        <f t="shared" si="52"/>
        <v/>
      </c>
      <c r="CD129" t="str">
        <f t="shared" si="53"/>
        <v/>
      </c>
    </row>
    <row r="130" spans="1:82" ht="33.6" customHeight="1" x14ac:dyDescent="0.3">
      <c r="A130" s="4"/>
      <c r="B130" s="4"/>
      <c r="C130" s="4"/>
      <c r="D130" s="5"/>
      <c r="E130" s="6"/>
      <c r="F130" s="5"/>
      <c r="G130" s="6"/>
      <c r="H130" s="5"/>
      <c r="I130" s="21"/>
      <c r="J130" s="5"/>
      <c r="K130" s="6"/>
      <c r="L130" s="5"/>
      <c r="M130" s="6"/>
      <c r="N130" s="5"/>
      <c r="O130" s="6"/>
      <c r="P130" s="5"/>
      <c r="Q130" s="6"/>
      <c r="R130" s="5"/>
      <c r="S130" s="6"/>
      <c r="T130" s="5"/>
      <c r="U130" s="21"/>
      <c r="V130" s="5"/>
      <c r="W130" s="6"/>
      <c r="X130" s="5"/>
      <c r="Y130" s="6"/>
      <c r="Z130" s="5"/>
      <c r="AA130" s="6"/>
      <c r="AB130" s="5"/>
      <c r="AC130" s="6"/>
      <c r="AD130" s="5"/>
      <c r="AE130" s="6"/>
      <c r="AF130" s="5"/>
      <c r="AG130" s="21"/>
      <c r="AH130" s="5"/>
      <c r="AI130" s="6"/>
      <c r="AJ130" s="5"/>
      <c r="AK130" s="6"/>
      <c r="AL130" s="5"/>
      <c r="AM130" s="21"/>
      <c r="AN130" s="5"/>
      <c r="AO130" s="6"/>
      <c r="AP130" s="5"/>
      <c r="AQ130" s="6"/>
      <c r="AR130" s="5"/>
      <c r="AS130" s="21"/>
      <c r="AT130" s="5"/>
      <c r="AU130" s="6"/>
      <c r="AV130" s="5"/>
      <c r="AW130" s="6"/>
      <c r="AX130" s="5"/>
      <c r="AY130" s="21"/>
      <c r="AZ130" s="6"/>
      <c r="BA130" s="6"/>
      <c r="BB130" s="6"/>
      <c r="BC130" s="7" t="str">
        <f t="shared" si="54"/>
        <v/>
      </c>
      <c r="BD130" s="7" t="str">
        <f t="shared" si="55"/>
        <v/>
      </c>
      <c r="BE130" s="4"/>
      <c r="BF130" s="16"/>
      <c r="BG130" s="16" t="str">
        <f t="shared" si="30"/>
        <v/>
      </c>
      <c r="BH130" s="16" t="str">
        <f t="shared" si="31"/>
        <v/>
      </c>
      <c r="BI130" s="16" t="str">
        <f t="shared" si="32"/>
        <v/>
      </c>
      <c r="BJ130" s="16" t="str">
        <f t="shared" si="33"/>
        <v/>
      </c>
      <c r="BK130" t="str">
        <f t="shared" si="34"/>
        <v/>
      </c>
      <c r="BL130" t="str">
        <f t="shared" si="35"/>
        <v/>
      </c>
      <c r="BM130" t="str">
        <f t="shared" si="36"/>
        <v/>
      </c>
      <c r="BN130" t="str">
        <f t="shared" si="37"/>
        <v/>
      </c>
      <c r="BO130" t="str">
        <f t="shared" si="38"/>
        <v/>
      </c>
      <c r="BP130" t="str">
        <f t="shared" si="39"/>
        <v/>
      </c>
      <c r="BQ130" t="str">
        <f t="shared" si="40"/>
        <v/>
      </c>
      <c r="BR130" t="str">
        <f t="shared" si="41"/>
        <v/>
      </c>
      <c r="BS130" t="str">
        <f t="shared" si="42"/>
        <v/>
      </c>
      <c r="BT130" t="str">
        <f t="shared" si="43"/>
        <v/>
      </c>
      <c r="BU130" t="str">
        <f t="shared" si="44"/>
        <v/>
      </c>
      <c r="BV130" t="str">
        <f t="shared" si="45"/>
        <v/>
      </c>
      <c r="BW130" t="str">
        <f t="shared" si="46"/>
        <v/>
      </c>
      <c r="BX130" t="str">
        <f t="shared" si="47"/>
        <v/>
      </c>
      <c r="BY130" t="str">
        <f t="shared" si="48"/>
        <v/>
      </c>
      <c r="BZ130" t="str">
        <f t="shared" si="49"/>
        <v/>
      </c>
      <c r="CA130" t="str">
        <f t="shared" si="50"/>
        <v/>
      </c>
      <c r="CB130" t="str">
        <f t="shared" si="51"/>
        <v/>
      </c>
      <c r="CC130" t="str">
        <f t="shared" si="52"/>
        <v/>
      </c>
      <c r="CD130" t="str">
        <f t="shared" si="53"/>
        <v/>
      </c>
    </row>
    <row r="131" spans="1:82" ht="33.6" customHeight="1" x14ac:dyDescent="0.3">
      <c r="A131" s="4"/>
      <c r="B131" s="4"/>
      <c r="C131" s="4"/>
      <c r="D131" s="5"/>
      <c r="E131" s="6"/>
      <c r="F131" s="5"/>
      <c r="G131" s="6"/>
      <c r="H131" s="5"/>
      <c r="I131" s="21"/>
      <c r="J131" s="5"/>
      <c r="K131" s="6"/>
      <c r="L131" s="5"/>
      <c r="M131" s="6"/>
      <c r="N131" s="5"/>
      <c r="O131" s="6"/>
      <c r="P131" s="5"/>
      <c r="Q131" s="6"/>
      <c r="R131" s="5"/>
      <c r="S131" s="6"/>
      <c r="T131" s="5"/>
      <c r="U131" s="21"/>
      <c r="V131" s="5"/>
      <c r="W131" s="6"/>
      <c r="X131" s="5"/>
      <c r="Y131" s="6"/>
      <c r="Z131" s="5"/>
      <c r="AA131" s="6"/>
      <c r="AB131" s="5"/>
      <c r="AC131" s="6"/>
      <c r="AD131" s="5"/>
      <c r="AE131" s="6"/>
      <c r="AF131" s="5"/>
      <c r="AG131" s="21"/>
      <c r="AH131" s="5"/>
      <c r="AI131" s="6"/>
      <c r="AJ131" s="5"/>
      <c r="AK131" s="6"/>
      <c r="AL131" s="5"/>
      <c r="AM131" s="21"/>
      <c r="AN131" s="5"/>
      <c r="AO131" s="6"/>
      <c r="AP131" s="5"/>
      <c r="AQ131" s="6"/>
      <c r="AR131" s="5"/>
      <c r="AS131" s="21"/>
      <c r="AT131" s="5"/>
      <c r="AU131" s="6"/>
      <c r="AV131" s="5"/>
      <c r="AW131" s="6"/>
      <c r="AX131" s="5"/>
      <c r="AY131" s="21"/>
      <c r="AZ131" s="6"/>
      <c r="BA131" s="6"/>
      <c r="BB131" s="6"/>
      <c r="BC131" s="7" t="str">
        <f t="shared" si="54"/>
        <v/>
      </c>
      <c r="BD131" s="7" t="str">
        <f t="shared" si="55"/>
        <v/>
      </c>
      <c r="BE131" s="4"/>
      <c r="BF131" s="16"/>
      <c r="BG131" s="16" t="str">
        <f t="shared" si="30"/>
        <v/>
      </c>
      <c r="BH131" s="16" t="str">
        <f t="shared" si="31"/>
        <v/>
      </c>
      <c r="BI131" s="16" t="str">
        <f t="shared" si="32"/>
        <v/>
      </c>
      <c r="BJ131" s="16" t="str">
        <f t="shared" si="33"/>
        <v/>
      </c>
      <c r="BK131" t="str">
        <f t="shared" si="34"/>
        <v/>
      </c>
      <c r="BL131" t="str">
        <f t="shared" si="35"/>
        <v/>
      </c>
      <c r="BM131" t="str">
        <f t="shared" si="36"/>
        <v/>
      </c>
      <c r="BN131" t="str">
        <f t="shared" si="37"/>
        <v/>
      </c>
      <c r="BO131" t="str">
        <f t="shared" si="38"/>
        <v/>
      </c>
      <c r="BP131" t="str">
        <f t="shared" si="39"/>
        <v/>
      </c>
      <c r="BQ131" t="str">
        <f t="shared" si="40"/>
        <v/>
      </c>
      <c r="BR131" t="str">
        <f t="shared" si="41"/>
        <v/>
      </c>
      <c r="BS131" t="str">
        <f t="shared" si="42"/>
        <v/>
      </c>
      <c r="BT131" t="str">
        <f t="shared" si="43"/>
        <v/>
      </c>
      <c r="BU131" t="str">
        <f t="shared" si="44"/>
        <v/>
      </c>
      <c r="BV131" t="str">
        <f t="shared" si="45"/>
        <v/>
      </c>
      <c r="BW131" t="str">
        <f t="shared" si="46"/>
        <v/>
      </c>
      <c r="BX131" t="str">
        <f t="shared" si="47"/>
        <v/>
      </c>
      <c r="BY131" t="str">
        <f t="shared" si="48"/>
        <v/>
      </c>
      <c r="BZ131" t="str">
        <f t="shared" si="49"/>
        <v/>
      </c>
      <c r="CA131" t="str">
        <f t="shared" si="50"/>
        <v/>
      </c>
      <c r="CB131" t="str">
        <f t="shared" si="51"/>
        <v/>
      </c>
      <c r="CC131" t="str">
        <f t="shared" si="52"/>
        <v/>
      </c>
      <c r="CD131" t="str">
        <f t="shared" si="53"/>
        <v/>
      </c>
    </row>
    <row r="132" spans="1:82" ht="33.6" customHeight="1" x14ac:dyDescent="0.3">
      <c r="A132" s="4"/>
      <c r="B132" s="4"/>
      <c r="C132" s="4"/>
      <c r="D132" s="5"/>
      <c r="E132" s="6"/>
      <c r="F132" s="5"/>
      <c r="G132" s="6"/>
      <c r="H132" s="5"/>
      <c r="I132" s="21"/>
      <c r="J132" s="5"/>
      <c r="K132" s="6"/>
      <c r="L132" s="5"/>
      <c r="M132" s="6"/>
      <c r="N132" s="5"/>
      <c r="O132" s="6"/>
      <c r="P132" s="5"/>
      <c r="Q132" s="6"/>
      <c r="R132" s="5"/>
      <c r="S132" s="6"/>
      <c r="T132" s="5"/>
      <c r="U132" s="21"/>
      <c r="V132" s="5"/>
      <c r="W132" s="6"/>
      <c r="X132" s="5"/>
      <c r="Y132" s="6"/>
      <c r="Z132" s="5"/>
      <c r="AA132" s="6"/>
      <c r="AB132" s="5"/>
      <c r="AC132" s="6"/>
      <c r="AD132" s="5"/>
      <c r="AE132" s="6"/>
      <c r="AF132" s="5"/>
      <c r="AG132" s="21"/>
      <c r="AH132" s="5"/>
      <c r="AI132" s="6"/>
      <c r="AJ132" s="5"/>
      <c r="AK132" s="6"/>
      <c r="AL132" s="5"/>
      <c r="AM132" s="21"/>
      <c r="AN132" s="5"/>
      <c r="AO132" s="6"/>
      <c r="AP132" s="5"/>
      <c r="AQ132" s="6"/>
      <c r="AR132" s="5"/>
      <c r="AS132" s="21"/>
      <c r="AT132" s="5"/>
      <c r="AU132" s="6"/>
      <c r="AV132" s="5"/>
      <c r="AW132" s="6"/>
      <c r="AX132" s="5"/>
      <c r="AY132" s="21"/>
      <c r="AZ132" s="6"/>
      <c r="BA132" s="6"/>
      <c r="BB132" s="6"/>
      <c r="BC132" s="7" t="str">
        <f t="shared" ref="BC132:BC163" si="56">IFERROR((COUNTIF(D132:AX132,"A")*4+COUNTIF(D132:AX132,"B")*3+COUNTIF(D132:AX132,"C")*2+COUNTIF(D132:AX132,"D")*1)/(COUNTIF(D132:AX132,"A")+COUNTIF(D132:AX132,"B")+COUNTIF(D132:AX132,"C")+COUNTIF(D132:AX132,"D"))*25,"")</f>
        <v/>
      </c>
      <c r="BD132" s="7" t="str">
        <f t="shared" ref="BD132:BD163" si="57">IF(BC132="","",IF(BC132&gt;=85,"A",IF(BC132&gt;=70,"B",IF(BC132&gt;=50,"C","D"))))</f>
        <v/>
      </c>
      <c r="BE132" s="4"/>
      <c r="BF132" s="16"/>
      <c r="BG132" s="16" t="str">
        <f t="shared" ref="BG132:BG195" si="58">IF(D132="","",IF(D132="A",90,IF(D132="B",75,IF(D132="C",60,45))))</f>
        <v/>
      </c>
      <c r="BH132" s="16" t="str">
        <f t="shared" ref="BH132:BH195" si="59">IF(F132="","",IF(F132="A",90,IF(F132="B",75,IF(F132="C",60,45))))</f>
        <v/>
      </c>
      <c r="BI132" s="16" t="str">
        <f t="shared" ref="BI132:BI195" si="60">IF(H132="","",IF(H132="A",90,IF(H132="B",75,IF(H132="C",60,45))))</f>
        <v/>
      </c>
      <c r="BJ132" s="16" t="str">
        <f t="shared" ref="BJ132:BJ195" si="61">IF(J132="","",IF(J132="A",90,IF(J132="B",75,IF(J132="C",60,45))))</f>
        <v/>
      </c>
      <c r="BK132" t="str">
        <f t="shared" ref="BK132:BK195" si="62">IF(L132="","",IF(L132="A",90,IF(L132="B",75,IF(L132="C",60,45))))</f>
        <v/>
      </c>
      <c r="BL132" t="str">
        <f t="shared" ref="BL132:BL195" si="63">IF(N132="","",IF(N132="A",90,IF(N132="B",75,IF(N132="C",60,45))))</f>
        <v/>
      </c>
      <c r="BM132" t="str">
        <f t="shared" ref="BM132:BM195" si="64">IF(P132="","",IF(P132="A",90,IF(P132="B",75,IF(P132="C",60,45))))</f>
        <v/>
      </c>
      <c r="BN132" t="str">
        <f t="shared" ref="BN132:BN195" si="65">IF(R132="","",IF(R132="A",90,IF(R132="B",75,IF(R132="C",60,45))))</f>
        <v/>
      </c>
      <c r="BO132" t="str">
        <f t="shared" ref="BO132:BO195" si="66">IF(T132="","",IF(T132="A",90,IF(T132="B",75,IF(T132="C",60,45))))</f>
        <v/>
      </c>
      <c r="BP132" t="str">
        <f t="shared" ref="BP132:BP195" si="67">IF(V132="","",IF(V132="A",90,IF(V132="B",75,IF(V132="C",60,45))))</f>
        <v/>
      </c>
      <c r="BQ132" t="str">
        <f t="shared" ref="BQ132:BQ195" si="68">IF(X132="","",IF(X132="A",90,IF(X132="B",75,IF(X132="C",60,45))))</f>
        <v/>
      </c>
      <c r="BR132" t="str">
        <f t="shared" ref="BR132:BR195" si="69">IF(Z132="","",IF(Z132="A",90,IF(Z132="B",75,IF(Z132="C",60,45))))</f>
        <v/>
      </c>
      <c r="BS132" t="str">
        <f t="shared" ref="BS132:BS195" si="70">IF(AB132="","",IF(AB132="A",90,IF(AB132="B",75,IF(AB132="C",60,45))))</f>
        <v/>
      </c>
      <c r="BT132" t="str">
        <f t="shared" ref="BT132:BT195" si="71">IF(AD132="","",IF(AD132="A",90,IF(AD132="B",75,IF(AD132="C",60,45))))</f>
        <v/>
      </c>
      <c r="BU132" t="str">
        <f t="shared" ref="BU132:BU195" si="72">IF(AF132="","",IF(AF132="A",90,IF(AF132="B",75,IF(AF132="C",60,45))))</f>
        <v/>
      </c>
      <c r="BV132" t="str">
        <f t="shared" ref="BV132:BV195" si="73">IF(AH132="","",IF(AH132="A",90,IF(AH132="B",75,IF(AH132="C",60,45))))</f>
        <v/>
      </c>
      <c r="BW132" t="str">
        <f t="shared" ref="BW132:BW195" si="74">IF(AJ132="","",IF(AJ132="A",90,IF(AJ132="B",75,IF(AJ132="C",60,45))))</f>
        <v/>
      </c>
      <c r="BX132" t="str">
        <f t="shared" ref="BX132:BX195" si="75">IF(AL132="","",IF(AL132="A",90,IF(AL132="B",75,IF(AL132="C",60,45))))</f>
        <v/>
      </c>
      <c r="BY132" t="str">
        <f t="shared" ref="BY132:BY195" si="76">IF(AN132="","",IF(AN132="A",90,IF(AN132="B",75,IF(AN132="C",60,45))))</f>
        <v/>
      </c>
      <c r="BZ132" t="str">
        <f t="shared" ref="BZ132:BZ195" si="77">IF(AP132="","",IF(AP132="A",90,IF(AP132="B",75,IF(AP132="C",60,45))))</f>
        <v/>
      </c>
      <c r="CA132" t="str">
        <f t="shared" ref="CA132:CA195" si="78">IF(AR132="","",IF(AR132="A",90,IF(AR132="B",75,IF(AR132="C",60,45))))</f>
        <v/>
      </c>
      <c r="CB132" t="str">
        <f t="shared" ref="CB132:CB195" si="79">IF(AT132="","",IF(AT132="A",90,IF(AT132="B",75,IF(AT132="C",60,45))))</f>
        <v/>
      </c>
      <c r="CC132" t="str">
        <f t="shared" ref="CC132:CC195" si="80">IF(AV132="","",IF(AV132="A",90,IF(AV132="B",75,IF(AV132="C",60,45))))</f>
        <v/>
      </c>
      <c r="CD132" t="str">
        <f t="shared" ref="CD132:CD195" si="81">IF(AX132="","",IF(AX132="A",90,IF(AX132="B",75,IF(AX132="C",60,45))))</f>
        <v/>
      </c>
    </row>
    <row r="133" spans="1:82" ht="33.6" customHeight="1" x14ac:dyDescent="0.3">
      <c r="A133" s="4"/>
      <c r="B133" s="4"/>
      <c r="C133" s="4"/>
      <c r="D133" s="5"/>
      <c r="E133" s="6"/>
      <c r="F133" s="5"/>
      <c r="G133" s="6"/>
      <c r="H133" s="5"/>
      <c r="I133" s="21"/>
      <c r="J133" s="5"/>
      <c r="K133" s="6"/>
      <c r="L133" s="5"/>
      <c r="M133" s="6"/>
      <c r="N133" s="5"/>
      <c r="O133" s="6"/>
      <c r="P133" s="5"/>
      <c r="Q133" s="6"/>
      <c r="R133" s="5"/>
      <c r="S133" s="6"/>
      <c r="T133" s="5"/>
      <c r="U133" s="21"/>
      <c r="V133" s="5"/>
      <c r="W133" s="6"/>
      <c r="X133" s="5"/>
      <c r="Y133" s="6"/>
      <c r="Z133" s="5"/>
      <c r="AA133" s="6"/>
      <c r="AB133" s="5"/>
      <c r="AC133" s="6"/>
      <c r="AD133" s="5"/>
      <c r="AE133" s="6"/>
      <c r="AF133" s="5"/>
      <c r="AG133" s="21"/>
      <c r="AH133" s="5"/>
      <c r="AI133" s="6"/>
      <c r="AJ133" s="5"/>
      <c r="AK133" s="6"/>
      <c r="AL133" s="5"/>
      <c r="AM133" s="21"/>
      <c r="AN133" s="5"/>
      <c r="AO133" s="6"/>
      <c r="AP133" s="5"/>
      <c r="AQ133" s="6"/>
      <c r="AR133" s="5"/>
      <c r="AS133" s="21"/>
      <c r="AT133" s="5"/>
      <c r="AU133" s="6"/>
      <c r="AV133" s="5"/>
      <c r="AW133" s="6"/>
      <c r="AX133" s="5"/>
      <c r="AY133" s="21"/>
      <c r="AZ133" s="6"/>
      <c r="BA133" s="6"/>
      <c r="BB133" s="6"/>
      <c r="BC133" s="7" t="str">
        <f t="shared" si="56"/>
        <v/>
      </c>
      <c r="BD133" s="7" t="str">
        <f t="shared" si="57"/>
        <v/>
      </c>
      <c r="BE133" s="4"/>
      <c r="BF133" s="16"/>
      <c r="BG133" s="16" t="str">
        <f t="shared" si="58"/>
        <v/>
      </c>
      <c r="BH133" s="16" t="str">
        <f t="shared" si="59"/>
        <v/>
      </c>
      <c r="BI133" s="16" t="str">
        <f t="shared" si="60"/>
        <v/>
      </c>
      <c r="BJ133" s="16" t="str">
        <f t="shared" si="61"/>
        <v/>
      </c>
      <c r="BK133" t="str">
        <f t="shared" si="62"/>
        <v/>
      </c>
      <c r="BL133" t="str">
        <f t="shared" si="63"/>
        <v/>
      </c>
      <c r="BM133" t="str">
        <f t="shared" si="64"/>
        <v/>
      </c>
      <c r="BN133" t="str">
        <f t="shared" si="65"/>
        <v/>
      </c>
      <c r="BO133" t="str">
        <f t="shared" si="66"/>
        <v/>
      </c>
      <c r="BP133" t="str">
        <f t="shared" si="67"/>
        <v/>
      </c>
      <c r="BQ133" t="str">
        <f t="shared" si="68"/>
        <v/>
      </c>
      <c r="BR133" t="str">
        <f t="shared" si="69"/>
        <v/>
      </c>
      <c r="BS133" t="str">
        <f t="shared" si="70"/>
        <v/>
      </c>
      <c r="BT133" t="str">
        <f t="shared" si="71"/>
        <v/>
      </c>
      <c r="BU133" t="str">
        <f t="shared" si="72"/>
        <v/>
      </c>
      <c r="BV133" t="str">
        <f t="shared" si="73"/>
        <v/>
      </c>
      <c r="BW133" t="str">
        <f t="shared" si="74"/>
        <v/>
      </c>
      <c r="BX133" t="str">
        <f t="shared" si="75"/>
        <v/>
      </c>
      <c r="BY133" t="str">
        <f t="shared" si="76"/>
        <v/>
      </c>
      <c r="BZ133" t="str">
        <f t="shared" si="77"/>
        <v/>
      </c>
      <c r="CA133" t="str">
        <f t="shared" si="78"/>
        <v/>
      </c>
      <c r="CB133" t="str">
        <f t="shared" si="79"/>
        <v/>
      </c>
      <c r="CC133" t="str">
        <f t="shared" si="80"/>
        <v/>
      </c>
      <c r="CD133" t="str">
        <f t="shared" si="81"/>
        <v/>
      </c>
    </row>
    <row r="134" spans="1:82" ht="33.6" customHeight="1" x14ac:dyDescent="0.3">
      <c r="A134" s="4"/>
      <c r="B134" s="4"/>
      <c r="C134" s="4"/>
      <c r="D134" s="5"/>
      <c r="E134" s="6"/>
      <c r="F134" s="5"/>
      <c r="G134" s="6"/>
      <c r="H134" s="5"/>
      <c r="I134" s="21"/>
      <c r="J134" s="5"/>
      <c r="K134" s="6"/>
      <c r="L134" s="5"/>
      <c r="M134" s="6"/>
      <c r="N134" s="5"/>
      <c r="O134" s="6"/>
      <c r="P134" s="5"/>
      <c r="Q134" s="6"/>
      <c r="R134" s="5"/>
      <c r="S134" s="6"/>
      <c r="T134" s="5"/>
      <c r="U134" s="21"/>
      <c r="V134" s="5"/>
      <c r="W134" s="6"/>
      <c r="X134" s="5"/>
      <c r="Y134" s="6"/>
      <c r="Z134" s="5"/>
      <c r="AA134" s="6"/>
      <c r="AB134" s="5"/>
      <c r="AC134" s="6"/>
      <c r="AD134" s="5"/>
      <c r="AE134" s="6"/>
      <c r="AF134" s="5"/>
      <c r="AG134" s="21"/>
      <c r="AH134" s="5"/>
      <c r="AI134" s="6"/>
      <c r="AJ134" s="5"/>
      <c r="AK134" s="6"/>
      <c r="AL134" s="5"/>
      <c r="AM134" s="21"/>
      <c r="AN134" s="5"/>
      <c r="AO134" s="6"/>
      <c r="AP134" s="5"/>
      <c r="AQ134" s="6"/>
      <c r="AR134" s="5"/>
      <c r="AS134" s="21"/>
      <c r="AT134" s="5"/>
      <c r="AU134" s="6"/>
      <c r="AV134" s="5"/>
      <c r="AW134" s="6"/>
      <c r="AX134" s="5"/>
      <c r="AY134" s="21"/>
      <c r="AZ134" s="6"/>
      <c r="BA134" s="6"/>
      <c r="BB134" s="6"/>
      <c r="BC134" s="7" t="str">
        <f t="shared" si="56"/>
        <v/>
      </c>
      <c r="BD134" s="7" t="str">
        <f t="shared" si="57"/>
        <v/>
      </c>
      <c r="BE134" s="4"/>
      <c r="BF134" s="16"/>
      <c r="BG134" s="16" t="str">
        <f t="shared" si="58"/>
        <v/>
      </c>
      <c r="BH134" s="16" t="str">
        <f t="shared" si="59"/>
        <v/>
      </c>
      <c r="BI134" s="16" t="str">
        <f t="shared" si="60"/>
        <v/>
      </c>
      <c r="BJ134" s="16" t="str">
        <f t="shared" si="61"/>
        <v/>
      </c>
      <c r="BK134" t="str">
        <f t="shared" si="62"/>
        <v/>
      </c>
      <c r="BL134" t="str">
        <f t="shared" si="63"/>
        <v/>
      </c>
      <c r="BM134" t="str">
        <f t="shared" si="64"/>
        <v/>
      </c>
      <c r="BN134" t="str">
        <f t="shared" si="65"/>
        <v/>
      </c>
      <c r="BO134" t="str">
        <f t="shared" si="66"/>
        <v/>
      </c>
      <c r="BP134" t="str">
        <f t="shared" si="67"/>
        <v/>
      </c>
      <c r="BQ134" t="str">
        <f t="shared" si="68"/>
        <v/>
      </c>
      <c r="BR134" t="str">
        <f t="shared" si="69"/>
        <v/>
      </c>
      <c r="BS134" t="str">
        <f t="shared" si="70"/>
        <v/>
      </c>
      <c r="BT134" t="str">
        <f t="shared" si="71"/>
        <v/>
      </c>
      <c r="BU134" t="str">
        <f t="shared" si="72"/>
        <v/>
      </c>
      <c r="BV134" t="str">
        <f t="shared" si="73"/>
        <v/>
      </c>
      <c r="BW134" t="str">
        <f t="shared" si="74"/>
        <v/>
      </c>
      <c r="BX134" t="str">
        <f t="shared" si="75"/>
        <v/>
      </c>
      <c r="BY134" t="str">
        <f t="shared" si="76"/>
        <v/>
      </c>
      <c r="BZ134" t="str">
        <f t="shared" si="77"/>
        <v/>
      </c>
      <c r="CA134" t="str">
        <f t="shared" si="78"/>
        <v/>
      </c>
      <c r="CB134" t="str">
        <f t="shared" si="79"/>
        <v/>
      </c>
      <c r="CC134" t="str">
        <f t="shared" si="80"/>
        <v/>
      </c>
      <c r="CD134" t="str">
        <f t="shared" si="81"/>
        <v/>
      </c>
    </row>
    <row r="135" spans="1:82" ht="33.6" customHeight="1" x14ac:dyDescent="0.3">
      <c r="A135" s="4"/>
      <c r="B135" s="4"/>
      <c r="C135" s="4"/>
      <c r="D135" s="5"/>
      <c r="E135" s="6"/>
      <c r="F135" s="5"/>
      <c r="G135" s="6"/>
      <c r="H135" s="5"/>
      <c r="I135" s="21"/>
      <c r="J135" s="5"/>
      <c r="K135" s="6"/>
      <c r="L135" s="5"/>
      <c r="M135" s="6"/>
      <c r="N135" s="5"/>
      <c r="O135" s="6"/>
      <c r="P135" s="5"/>
      <c r="Q135" s="6"/>
      <c r="R135" s="5"/>
      <c r="S135" s="6"/>
      <c r="T135" s="5"/>
      <c r="U135" s="21"/>
      <c r="V135" s="5"/>
      <c r="W135" s="6"/>
      <c r="X135" s="5"/>
      <c r="Y135" s="6"/>
      <c r="Z135" s="5"/>
      <c r="AA135" s="6"/>
      <c r="AB135" s="5"/>
      <c r="AC135" s="6"/>
      <c r="AD135" s="5"/>
      <c r="AE135" s="6"/>
      <c r="AF135" s="5"/>
      <c r="AG135" s="21"/>
      <c r="AH135" s="5"/>
      <c r="AI135" s="6"/>
      <c r="AJ135" s="5"/>
      <c r="AK135" s="6"/>
      <c r="AL135" s="5"/>
      <c r="AM135" s="21"/>
      <c r="AN135" s="5"/>
      <c r="AO135" s="6"/>
      <c r="AP135" s="5"/>
      <c r="AQ135" s="6"/>
      <c r="AR135" s="5"/>
      <c r="AS135" s="21"/>
      <c r="AT135" s="5"/>
      <c r="AU135" s="6"/>
      <c r="AV135" s="5"/>
      <c r="AW135" s="6"/>
      <c r="AX135" s="5"/>
      <c r="AY135" s="21"/>
      <c r="AZ135" s="6"/>
      <c r="BA135" s="6"/>
      <c r="BB135" s="6"/>
      <c r="BC135" s="7" t="str">
        <f t="shared" si="56"/>
        <v/>
      </c>
      <c r="BD135" s="7" t="str">
        <f t="shared" si="57"/>
        <v/>
      </c>
      <c r="BE135" s="4"/>
      <c r="BF135" s="16"/>
      <c r="BG135" s="16" t="str">
        <f t="shared" si="58"/>
        <v/>
      </c>
      <c r="BH135" s="16" t="str">
        <f t="shared" si="59"/>
        <v/>
      </c>
      <c r="BI135" s="16" t="str">
        <f t="shared" si="60"/>
        <v/>
      </c>
      <c r="BJ135" s="16" t="str">
        <f t="shared" si="61"/>
        <v/>
      </c>
      <c r="BK135" t="str">
        <f t="shared" si="62"/>
        <v/>
      </c>
      <c r="BL135" t="str">
        <f t="shared" si="63"/>
        <v/>
      </c>
      <c r="BM135" t="str">
        <f t="shared" si="64"/>
        <v/>
      </c>
      <c r="BN135" t="str">
        <f t="shared" si="65"/>
        <v/>
      </c>
      <c r="BO135" t="str">
        <f t="shared" si="66"/>
        <v/>
      </c>
      <c r="BP135" t="str">
        <f t="shared" si="67"/>
        <v/>
      </c>
      <c r="BQ135" t="str">
        <f t="shared" si="68"/>
        <v/>
      </c>
      <c r="BR135" t="str">
        <f t="shared" si="69"/>
        <v/>
      </c>
      <c r="BS135" t="str">
        <f t="shared" si="70"/>
        <v/>
      </c>
      <c r="BT135" t="str">
        <f t="shared" si="71"/>
        <v/>
      </c>
      <c r="BU135" t="str">
        <f t="shared" si="72"/>
        <v/>
      </c>
      <c r="BV135" t="str">
        <f t="shared" si="73"/>
        <v/>
      </c>
      <c r="BW135" t="str">
        <f t="shared" si="74"/>
        <v/>
      </c>
      <c r="BX135" t="str">
        <f t="shared" si="75"/>
        <v/>
      </c>
      <c r="BY135" t="str">
        <f t="shared" si="76"/>
        <v/>
      </c>
      <c r="BZ135" t="str">
        <f t="shared" si="77"/>
        <v/>
      </c>
      <c r="CA135" t="str">
        <f t="shared" si="78"/>
        <v/>
      </c>
      <c r="CB135" t="str">
        <f t="shared" si="79"/>
        <v/>
      </c>
      <c r="CC135" t="str">
        <f t="shared" si="80"/>
        <v/>
      </c>
      <c r="CD135" t="str">
        <f t="shared" si="81"/>
        <v/>
      </c>
    </row>
    <row r="136" spans="1:82" ht="33.6" customHeight="1" x14ac:dyDescent="0.3">
      <c r="A136" s="4"/>
      <c r="B136" s="4"/>
      <c r="C136" s="4"/>
      <c r="D136" s="5"/>
      <c r="E136" s="6"/>
      <c r="F136" s="5"/>
      <c r="G136" s="6"/>
      <c r="H136" s="5"/>
      <c r="I136" s="21"/>
      <c r="J136" s="5"/>
      <c r="K136" s="6"/>
      <c r="L136" s="5"/>
      <c r="M136" s="6"/>
      <c r="N136" s="5"/>
      <c r="O136" s="6"/>
      <c r="P136" s="5"/>
      <c r="Q136" s="6"/>
      <c r="R136" s="5"/>
      <c r="S136" s="6"/>
      <c r="T136" s="5"/>
      <c r="U136" s="21"/>
      <c r="V136" s="5"/>
      <c r="W136" s="6"/>
      <c r="X136" s="5"/>
      <c r="Y136" s="6"/>
      <c r="Z136" s="5"/>
      <c r="AA136" s="6"/>
      <c r="AB136" s="5"/>
      <c r="AC136" s="6"/>
      <c r="AD136" s="5"/>
      <c r="AE136" s="6"/>
      <c r="AF136" s="5"/>
      <c r="AG136" s="21"/>
      <c r="AH136" s="5"/>
      <c r="AI136" s="6"/>
      <c r="AJ136" s="5"/>
      <c r="AK136" s="6"/>
      <c r="AL136" s="5"/>
      <c r="AM136" s="21"/>
      <c r="AN136" s="5"/>
      <c r="AO136" s="6"/>
      <c r="AP136" s="5"/>
      <c r="AQ136" s="6"/>
      <c r="AR136" s="5"/>
      <c r="AS136" s="21"/>
      <c r="AT136" s="5"/>
      <c r="AU136" s="6"/>
      <c r="AV136" s="5"/>
      <c r="AW136" s="6"/>
      <c r="AX136" s="5"/>
      <c r="AY136" s="21"/>
      <c r="AZ136" s="6"/>
      <c r="BA136" s="6"/>
      <c r="BB136" s="6"/>
      <c r="BC136" s="7" t="str">
        <f t="shared" si="56"/>
        <v/>
      </c>
      <c r="BD136" s="7" t="str">
        <f t="shared" si="57"/>
        <v/>
      </c>
      <c r="BE136" s="4"/>
      <c r="BF136" s="16"/>
      <c r="BG136" s="16" t="str">
        <f t="shared" si="58"/>
        <v/>
      </c>
      <c r="BH136" s="16" t="str">
        <f t="shared" si="59"/>
        <v/>
      </c>
      <c r="BI136" s="16" t="str">
        <f t="shared" si="60"/>
        <v/>
      </c>
      <c r="BJ136" s="16" t="str">
        <f t="shared" si="61"/>
        <v/>
      </c>
      <c r="BK136" t="str">
        <f t="shared" si="62"/>
        <v/>
      </c>
      <c r="BL136" t="str">
        <f t="shared" si="63"/>
        <v/>
      </c>
      <c r="BM136" t="str">
        <f t="shared" si="64"/>
        <v/>
      </c>
      <c r="BN136" t="str">
        <f t="shared" si="65"/>
        <v/>
      </c>
      <c r="BO136" t="str">
        <f t="shared" si="66"/>
        <v/>
      </c>
      <c r="BP136" t="str">
        <f t="shared" si="67"/>
        <v/>
      </c>
      <c r="BQ136" t="str">
        <f t="shared" si="68"/>
        <v/>
      </c>
      <c r="BR136" t="str">
        <f t="shared" si="69"/>
        <v/>
      </c>
      <c r="BS136" t="str">
        <f t="shared" si="70"/>
        <v/>
      </c>
      <c r="BT136" t="str">
        <f t="shared" si="71"/>
        <v/>
      </c>
      <c r="BU136" t="str">
        <f t="shared" si="72"/>
        <v/>
      </c>
      <c r="BV136" t="str">
        <f t="shared" si="73"/>
        <v/>
      </c>
      <c r="BW136" t="str">
        <f t="shared" si="74"/>
        <v/>
      </c>
      <c r="BX136" t="str">
        <f t="shared" si="75"/>
        <v/>
      </c>
      <c r="BY136" t="str">
        <f t="shared" si="76"/>
        <v/>
      </c>
      <c r="BZ136" t="str">
        <f t="shared" si="77"/>
        <v/>
      </c>
      <c r="CA136" t="str">
        <f t="shared" si="78"/>
        <v/>
      </c>
      <c r="CB136" t="str">
        <f t="shared" si="79"/>
        <v/>
      </c>
      <c r="CC136" t="str">
        <f t="shared" si="80"/>
        <v/>
      </c>
      <c r="CD136" t="str">
        <f t="shared" si="81"/>
        <v/>
      </c>
    </row>
    <row r="137" spans="1:82" ht="33.6" customHeight="1" x14ac:dyDescent="0.3">
      <c r="A137" s="4"/>
      <c r="B137" s="4"/>
      <c r="C137" s="4"/>
      <c r="D137" s="5"/>
      <c r="E137" s="6"/>
      <c r="F137" s="5"/>
      <c r="G137" s="6"/>
      <c r="H137" s="5"/>
      <c r="I137" s="21"/>
      <c r="J137" s="5"/>
      <c r="K137" s="6"/>
      <c r="L137" s="5"/>
      <c r="M137" s="6"/>
      <c r="N137" s="5"/>
      <c r="O137" s="6"/>
      <c r="P137" s="5"/>
      <c r="Q137" s="6"/>
      <c r="R137" s="5"/>
      <c r="S137" s="6"/>
      <c r="T137" s="5"/>
      <c r="U137" s="21"/>
      <c r="V137" s="5"/>
      <c r="W137" s="6"/>
      <c r="X137" s="5"/>
      <c r="Y137" s="6"/>
      <c r="Z137" s="5"/>
      <c r="AA137" s="6"/>
      <c r="AB137" s="5"/>
      <c r="AC137" s="6"/>
      <c r="AD137" s="5"/>
      <c r="AE137" s="6"/>
      <c r="AF137" s="5"/>
      <c r="AG137" s="21"/>
      <c r="AH137" s="5"/>
      <c r="AI137" s="6"/>
      <c r="AJ137" s="5"/>
      <c r="AK137" s="6"/>
      <c r="AL137" s="5"/>
      <c r="AM137" s="21"/>
      <c r="AN137" s="5"/>
      <c r="AO137" s="6"/>
      <c r="AP137" s="5"/>
      <c r="AQ137" s="6"/>
      <c r="AR137" s="5"/>
      <c r="AS137" s="21"/>
      <c r="AT137" s="5"/>
      <c r="AU137" s="6"/>
      <c r="AV137" s="5"/>
      <c r="AW137" s="6"/>
      <c r="AX137" s="5"/>
      <c r="AY137" s="21"/>
      <c r="AZ137" s="6"/>
      <c r="BA137" s="6"/>
      <c r="BB137" s="6"/>
      <c r="BC137" s="7" t="str">
        <f t="shared" si="56"/>
        <v/>
      </c>
      <c r="BD137" s="7" t="str">
        <f t="shared" si="57"/>
        <v/>
      </c>
      <c r="BE137" s="4"/>
      <c r="BF137" s="16"/>
      <c r="BG137" s="16" t="str">
        <f t="shared" si="58"/>
        <v/>
      </c>
      <c r="BH137" s="16" t="str">
        <f t="shared" si="59"/>
        <v/>
      </c>
      <c r="BI137" s="16" t="str">
        <f t="shared" si="60"/>
        <v/>
      </c>
      <c r="BJ137" s="16" t="str">
        <f t="shared" si="61"/>
        <v/>
      </c>
      <c r="BK137" t="str">
        <f t="shared" si="62"/>
        <v/>
      </c>
      <c r="BL137" t="str">
        <f t="shared" si="63"/>
        <v/>
      </c>
      <c r="BM137" t="str">
        <f t="shared" si="64"/>
        <v/>
      </c>
      <c r="BN137" t="str">
        <f t="shared" si="65"/>
        <v/>
      </c>
      <c r="BO137" t="str">
        <f t="shared" si="66"/>
        <v/>
      </c>
      <c r="BP137" t="str">
        <f t="shared" si="67"/>
        <v/>
      </c>
      <c r="BQ137" t="str">
        <f t="shared" si="68"/>
        <v/>
      </c>
      <c r="BR137" t="str">
        <f t="shared" si="69"/>
        <v/>
      </c>
      <c r="BS137" t="str">
        <f t="shared" si="70"/>
        <v/>
      </c>
      <c r="BT137" t="str">
        <f t="shared" si="71"/>
        <v/>
      </c>
      <c r="BU137" t="str">
        <f t="shared" si="72"/>
        <v/>
      </c>
      <c r="BV137" t="str">
        <f t="shared" si="73"/>
        <v/>
      </c>
      <c r="BW137" t="str">
        <f t="shared" si="74"/>
        <v/>
      </c>
      <c r="BX137" t="str">
        <f t="shared" si="75"/>
        <v/>
      </c>
      <c r="BY137" t="str">
        <f t="shared" si="76"/>
        <v/>
      </c>
      <c r="BZ137" t="str">
        <f t="shared" si="77"/>
        <v/>
      </c>
      <c r="CA137" t="str">
        <f t="shared" si="78"/>
        <v/>
      </c>
      <c r="CB137" t="str">
        <f t="shared" si="79"/>
        <v/>
      </c>
      <c r="CC137" t="str">
        <f t="shared" si="80"/>
        <v/>
      </c>
      <c r="CD137" t="str">
        <f t="shared" si="81"/>
        <v/>
      </c>
    </row>
    <row r="138" spans="1:82" ht="33.6" customHeight="1" x14ac:dyDescent="0.3">
      <c r="A138" s="4"/>
      <c r="B138" s="4"/>
      <c r="C138" s="4"/>
      <c r="D138" s="5"/>
      <c r="E138" s="6"/>
      <c r="F138" s="5"/>
      <c r="G138" s="6"/>
      <c r="H138" s="5"/>
      <c r="I138" s="21"/>
      <c r="J138" s="5"/>
      <c r="K138" s="6"/>
      <c r="L138" s="5"/>
      <c r="M138" s="6"/>
      <c r="N138" s="5"/>
      <c r="O138" s="6"/>
      <c r="P138" s="5"/>
      <c r="Q138" s="6"/>
      <c r="R138" s="5"/>
      <c r="S138" s="6"/>
      <c r="T138" s="5"/>
      <c r="U138" s="21"/>
      <c r="V138" s="5"/>
      <c r="W138" s="6"/>
      <c r="X138" s="5"/>
      <c r="Y138" s="6"/>
      <c r="Z138" s="5"/>
      <c r="AA138" s="6"/>
      <c r="AB138" s="5"/>
      <c r="AC138" s="6"/>
      <c r="AD138" s="5"/>
      <c r="AE138" s="6"/>
      <c r="AF138" s="5"/>
      <c r="AG138" s="21"/>
      <c r="AH138" s="5"/>
      <c r="AI138" s="6"/>
      <c r="AJ138" s="5"/>
      <c r="AK138" s="6"/>
      <c r="AL138" s="5"/>
      <c r="AM138" s="21"/>
      <c r="AN138" s="5"/>
      <c r="AO138" s="6"/>
      <c r="AP138" s="5"/>
      <c r="AQ138" s="6"/>
      <c r="AR138" s="5"/>
      <c r="AS138" s="21"/>
      <c r="AT138" s="5"/>
      <c r="AU138" s="6"/>
      <c r="AV138" s="5"/>
      <c r="AW138" s="6"/>
      <c r="AX138" s="5"/>
      <c r="AY138" s="21"/>
      <c r="AZ138" s="6"/>
      <c r="BA138" s="6"/>
      <c r="BB138" s="6"/>
      <c r="BC138" s="7" t="str">
        <f t="shared" si="56"/>
        <v/>
      </c>
      <c r="BD138" s="7" t="str">
        <f t="shared" si="57"/>
        <v/>
      </c>
      <c r="BE138" s="4"/>
      <c r="BF138" s="16"/>
      <c r="BG138" s="16" t="str">
        <f t="shared" si="58"/>
        <v/>
      </c>
      <c r="BH138" s="16" t="str">
        <f t="shared" si="59"/>
        <v/>
      </c>
      <c r="BI138" s="16" t="str">
        <f t="shared" si="60"/>
        <v/>
      </c>
      <c r="BJ138" s="16" t="str">
        <f t="shared" si="61"/>
        <v/>
      </c>
      <c r="BK138" t="str">
        <f t="shared" si="62"/>
        <v/>
      </c>
      <c r="BL138" t="str">
        <f t="shared" si="63"/>
        <v/>
      </c>
      <c r="BM138" t="str">
        <f t="shared" si="64"/>
        <v/>
      </c>
      <c r="BN138" t="str">
        <f t="shared" si="65"/>
        <v/>
      </c>
      <c r="BO138" t="str">
        <f t="shared" si="66"/>
        <v/>
      </c>
      <c r="BP138" t="str">
        <f t="shared" si="67"/>
        <v/>
      </c>
      <c r="BQ138" t="str">
        <f t="shared" si="68"/>
        <v/>
      </c>
      <c r="BR138" t="str">
        <f t="shared" si="69"/>
        <v/>
      </c>
      <c r="BS138" t="str">
        <f t="shared" si="70"/>
        <v/>
      </c>
      <c r="BT138" t="str">
        <f t="shared" si="71"/>
        <v/>
      </c>
      <c r="BU138" t="str">
        <f t="shared" si="72"/>
        <v/>
      </c>
      <c r="BV138" t="str">
        <f t="shared" si="73"/>
        <v/>
      </c>
      <c r="BW138" t="str">
        <f t="shared" si="74"/>
        <v/>
      </c>
      <c r="BX138" t="str">
        <f t="shared" si="75"/>
        <v/>
      </c>
      <c r="BY138" t="str">
        <f t="shared" si="76"/>
        <v/>
      </c>
      <c r="BZ138" t="str">
        <f t="shared" si="77"/>
        <v/>
      </c>
      <c r="CA138" t="str">
        <f t="shared" si="78"/>
        <v/>
      </c>
      <c r="CB138" t="str">
        <f t="shared" si="79"/>
        <v/>
      </c>
      <c r="CC138" t="str">
        <f t="shared" si="80"/>
        <v/>
      </c>
      <c r="CD138" t="str">
        <f t="shared" si="81"/>
        <v/>
      </c>
    </row>
    <row r="139" spans="1:82" ht="33.6" customHeight="1" x14ac:dyDescent="0.3">
      <c r="A139" s="4"/>
      <c r="B139" s="4"/>
      <c r="C139" s="4"/>
      <c r="D139" s="5"/>
      <c r="E139" s="6"/>
      <c r="F139" s="5"/>
      <c r="G139" s="6"/>
      <c r="H139" s="5"/>
      <c r="I139" s="21"/>
      <c r="J139" s="5"/>
      <c r="K139" s="6"/>
      <c r="L139" s="5"/>
      <c r="M139" s="6"/>
      <c r="N139" s="5"/>
      <c r="O139" s="6"/>
      <c r="P139" s="5"/>
      <c r="Q139" s="6"/>
      <c r="R139" s="5"/>
      <c r="S139" s="6"/>
      <c r="T139" s="5"/>
      <c r="U139" s="21"/>
      <c r="V139" s="5"/>
      <c r="W139" s="6"/>
      <c r="X139" s="5"/>
      <c r="Y139" s="6"/>
      <c r="Z139" s="5"/>
      <c r="AA139" s="6"/>
      <c r="AB139" s="5"/>
      <c r="AC139" s="6"/>
      <c r="AD139" s="5"/>
      <c r="AE139" s="6"/>
      <c r="AF139" s="5"/>
      <c r="AG139" s="21"/>
      <c r="AH139" s="5"/>
      <c r="AI139" s="6"/>
      <c r="AJ139" s="5"/>
      <c r="AK139" s="6"/>
      <c r="AL139" s="5"/>
      <c r="AM139" s="21"/>
      <c r="AN139" s="5"/>
      <c r="AO139" s="6"/>
      <c r="AP139" s="5"/>
      <c r="AQ139" s="6"/>
      <c r="AR139" s="5"/>
      <c r="AS139" s="21"/>
      <c r="AT139" s="5"/>
      <c r="AU139" s="6"/>
      <c r="AV139" s="5"/>
      <c r="AW139" s="6"/>
      <c r="AX139" s="5"/>
      <c r="AY139" s="21"/>
      <c r="AZ139" s="6"/>
      <c r="BA139" s="6"/>
      <c r="BB139" s="6"/>
      <c r="BC139" s="7" t="str">
        <f t="shared" si="56"/>
        <v/>
      </c>
      <c r="BD139" s="7" t="str">
        <f t="shared" si="57"/>
        <v/>
      </c>
      <c r="BE139" s="4"/>
      <c r="BF139" s="16"/>
      <c r="BG139" s="16" t="str">
        <f t="shared" si="58"/>
        <v/>
      </c>
      <c r="BH139" s="16" t="str">
        <f t="shared" si="59"/>
        <v/>
      </c>
      <c r="BI139" s="16" t="str">
        <f t="shared" si="60"/>
        <v/>
      </c>
      <c r="BJ139" s="16" t="str">
        <f t="shared" si="61"/>
        <v/>
      </c>
      <c r="BK139" t="str">
        <f t="shared" si="62"/>
        <v/>
      </c>
      <c r="BL139" t="str">
        <f t="shared" si="63"/>
        <v/>
      </c>
      <c r="BM139" t="str">
        <f t="shared" si="64"/>
        <v/>
      </c>
      <c r="BN139" t="str">
        <f t="shared" si="65"/>
        <v/>
      </c>
      <c r="BO139" t="str">
        <f t="shared" si="66"/>
        <v/>
      </c>
      <c r="BP139" t="str">
        <f t="shared" si="67"/>
        <v/>
      </c>
      <c r="BQ139" t="str">
        <f t="shared" si="68"/>
        <v/>
      </c>
      <c r="BR139" t="str">
        <f t="shared" si="69"/>
        <v/>
      </c>
      <c r="BS139" t="str">
        <f t="shared" si="70"/>
        <v/>
      </c>
      <c r="BT139" t="str">
        <f t="shared" si="71"/>
        <v/>
      </c>
      <c r="BU139" t="str">
        <f t="shared" si="72"/>
        <v/>
      </c>
      <c r="BV139" t="str">
        <f t="shared" si="73"/>
        <v/>
      </c>
      <c r="BW139" t="str">
        <f t="shared" si="74"/>
        <v/>
      </c>
      <c r="BX139" t="str">
        <f t="shared" si="75"/>
        <v/>
      </c>
      <c r="BY139" t="str">
        <f t="shared" si="76"/>
        <v/>
      </c>
      <c r="BZ139" t="str">
        <f t="shared" si="77"/>
        <v/>
      </c>
      <c r="CA139" t="str">
        <f t="shared" si="78"/>
        <v/>
      </c>
      <c r="CB139" t="str">
        <f t="shared" si="79"/>
        <v/>
      </c>
      <c r="CC139" t="str">
        <f t="shared" si="80"/>
        <v/>
      </c>
      <c r="CD139" t="str">
        <f t="shared" si="81"/>
        <v/>
      </c>
    </row>
    <row r="140" spans="1:82" ht="33.6" customHeight="1" x14ac:dyDescent="0.3">
      <c r="A140" s="4"/>
      <c r="B140" s="4"/>
      <c r="C140" s="4"/>
      <c r="D140" s="5"/>
      <c r="E140" s="6"/>
      <c r="F140" s="5"/>
      <c r="G140" s="6"/>
      <c r="H140" s="5"/>
      <c r="I140" s="21"/>
      <c r="J140" s="5"/>
      <c r="K140" s="6"/>
      <c r="L140" s="5"/>
      <c r="M140" s="6"/>
      <c r="N140" s="5"/>
      <c r="O140" s="6"/>
      <c r="P140" s="5"/>
      <c r="Q140" s="6"/>
      <c r="R140" s="5"/>
      <c r="S140" s="6"/>
      <c r="T140" s="5"/>
      <c r="U140" s="21"/>
      <c r="V140" s="5"/>
      <c r="W140" s="6"/>
      <c r="X140" s="5"/>
      <c r="Y140" s="6"/>
      <c r="Z140" s="5"/>
      <c r="AA140" s="6"/>
      <c r="AB140" s="5"/>
      <c r="AC140" s="6"/>
      <c r="AD140" s="5"/>
      <c r="AE140" s="6"/>
      <c r="AF140" s="5"/>
      <c r="AG140" s="21"/>
      <c r="AH140" s="5"/>
      <c r="AI140" s="6"/>
      <c r="AJ140" s="5"/>
      <c r="AK140" s="6"/>
      <c r="AL140" s="5"/>
      <c r="AM140" s="21"/>
      <c r="AN140" s="5"/>
      <c r="AO140" s="6"/>
      <c r="AP140" s="5"/>
      <c r="AQ140" s="6"/>
      <c r="AR140" s="5"/>
      <c r="AS140" s="21"/>
      <c r="AT140" s="5"/>
      <c r="AU140" s="6"/>
      <c r="AV140" s="5"/>
      <c r="AW140" s="6"/>
      <c r="AX140" s="5"/>
      <c r="AY140" s="21"/>
      <c r="AZ140" s="6"/>
      <c r="BA140" s="6"/>
      <c r="BB140" s="6"/>
      <c r="BC140" s="7" t="str">
        <f t="shared" si="56"/>
        <v/>
      </c>
      <c r="BD140" s="7" t="str">
        <f t="shared" si="57"/>
        <v/>
      </c>
      <c r="BE140" s="4"/>
      <c r="BF140" s="16"/>
      <c r="BG140" s="16" t="str">
        <f t="shared" si="58"/>
        <v/>
      </c>
      <c r="BH140" s="16" t="str">
        <f t="shared" si="59"/>
        <v/>
      </c>
      <c r="BI140" s="16" t="str">
        <f t="shared" si="60"/>
        <v/>
      </c>
      <c r="BJ140" s="16" t="str">
        <f t="shared" si="61"/>
        <v/>
      </c>
      <c r="BK140" t="str">
        <f t="shared" si="62"/>
        <v/>
      </c>
      <c r="BL140" t="str">
        <f t="shared" si="63"/>
        <v/>
      </c>
      <c r="BM140" t="str">
        <f t="shared" si="64"/>
        <v/>
      </c>
      <c r="BN140" t="str">
        <f t="shared" si="65"/>
        <v/>
      </c>
      <c r="BO140" t="str">
        <f t="shared" si="66"/>
        <v/>
      </c>
      <c r="BP140" t="str">
        <f t="shared" si="67"/>
        <v/>
      </c>
      <c r="BQ140" t="str">
        <f t="shared" si="68"/>
        <v/>
      </c>
      <c r="BR140" t="str">
        <f t="shared" si="69"/>
        <v/>
      </c>
      <c r="BS140" t="str">
        <f t="shared" si="70"/>
        <v/>
      </c>
      <c r="BT140" t="str">
        <f t="shared" si="71"/>
        <v/>
      </c>
      <c r="BU140" t="str">
        <f t="shared" si="72"/>
        <v/>
      </c>
      <c r="BV140" t="str">
        <f t="shared" si="73"/>
        <v/>
      </c>
      <c r="BW140" t="str">
        <f t="shared" si="74"/>
        <v/>
      </c>
      <c r="BX140" t="str">
        <f t="shared" si="75"/>
        <v/>
      </c>
      <c r="BY140" t="str">
        <f t="shared" si="76"/>
        <v/>
      </c>
      <c r="BZ140" t="str">
        <f t="shared" si="77"/>
        <v/>
      </c>
      <c r="CA140" t="str">
        <f t="shared" si="78"/>
        <v/>
      </c>
      <c r="CB140" t="str">
        <f t="shared" si="79"/>
        <v/>
      </c>
      <c r="CC140" t="str">
        <f t="shared" si="80"/>
        <v/>
      </c>
      <c r="CD140" t="str">
        <f t="shared" si="81"/>
        <v/>
      </c>
    </row>
    <row r="141" spans="1:82" ht="33.6" customHeight="1" x14ac:dyDescent="0.3">
      <c r="A141" s="4"/>
      <c r="B141" s="4"/>
      <c r="C141" s="4"/>
      <c r="D141" s="5"/>
      <c r="E141" s="6"/>
      <c r="F141" s="5"/>
      <c r="G141" s="6"/>
      <c r="H141" s="5"/>
      <c r="I141" s="21"/>
      <c r="J141" s="5"/>
      <c r="K141" s="6"/>
      <c r="L141" s="5"/>
      <c r="M141" s="6"/>
      <c r="N141" s="5"/>
      <c r="O141" s="6"/>
      <c r="P141" s="5"/>
      <c r="Q141" s="6"/>
      <c r="R141" s="5"/>
      <c r="S141" s="6"/>
      <c r="T141" s="5"/>
      <c r="U141" s="21"/>
      <c r="V141" s="5"/>
      <c r="W141" s="6"/>
      <c r="X141" s="5"/>
      <c r="Y141" s="6"/>
      <c r="Z141" s="5"/>
      <c r="AA141" s="6"/>
      <c r="AB141" s="5"/>
      <c r="AC141" s="6"/>
      <c r="AD141" s="5"/>
      <c r="AE141" s="6"/>
      <c r="AF141" s="5"/>
      <c r="AG141" s="21"/>
      <c r="AH141" s="5"/>
      <c r="AI141" s="6"/>
      <c r="AJ141" s="5"/>
      <c r="AK141" s="6"/>
      <c r="AL141" s="5"/>
      <c r="AM141" s="21"/>
      <c r="AN141" s="5"/>
      <c r="AO141" s="6"/>
      <c r="AP141" s="5"/>
      <c r="AQ141" s="6"/>
      <c r="AR141" s="5"/>
      <c r="AS141" s="21"/>
      <c r="AT141" s="5"/>
      <c r="AU141" s="6"/>
      <c r="AV141" s="5"/>
      <c r="AW141" s="6"/>
      <c r="AX141" s="5"/>
      <c r="AY141" s="21"/>
      <c r="AZ141" s="6"/>
      <c r="BA141" s="6"/>
      <c r="BB141" s="6"/>
      <c r="BC141" s="7" t="str">
        <f t="shared" si="56"/>
        <v/>
      </c>
      <c r="BD141" s="7" t="str">
        <f t="shared" si="57"/>
        <v/>
      </c>
      <c r="BE141" s="4"/>
      <c r="BF141" s="16"/>
      <c r="BG141" s="16" t="str">
        <f t="shared" si="58"/>
        <v/>
      </c>
      <c r="BH141" s="16" t="str">
        <f t="shared" si="59"/>
        <v/>
      </c>
      <c r="BI141" s="16" t="str">
        <f t="shared" si="60"/>
        <v/>
      </c>
      <c r="BJ141" s="16" t="str">
        <f t="shared" si="61"/>
        <v/>
      </c>
      <c r="BK141" t="str">
        <f t="shared" si="62"/>
        <v/>
      </c>
      <c r="BL141" t="str">
        <f t="shared" si="63"/>
        <v/>
      </c>
      <c r="BM141" t="str">
        <f t="shared" si="64"/>
        <v/>
      </c>
      <c r="BN141" t="str">
        <f t="shared" si="65"/>
        <v/>
      </c>
      <c r="BO141" t="str">
        <f t="shared" si="66"/>
        <v/>
      </c>
      <c r="BP141" t="str">
        <f t="shared" si="67"/>
        <v/>
      </c>
      <c r="BQ141" t="str">
        <f t="shared" si="68"/>
        <v/>
      </c>
      <c r="BR141" t="str">
        <f t="shared" si="69"/>
        <v/>
      </c>
      <c r="BS141" t="str">
        <f t="shared" si="70"/>
        <v/>
      </c>
      <c r="BT141" t="str">
        <f t="shared" si="71"/>
        <v/>
      </c>
      <c r="BU141" t="str">
        <f t="shared" si="72"/>
        <v/>
      </c>
      <c r="BV141" t="str">
        <f t="shared" si="73"/>
        <v/>
      </c>
      <c r="BW141" t="str">
        <f t="shared" si="74"/>
        <v/>
      </c>
      <c r="BX141" t="str">
        <f t="shared" si="75"/>
        <v/>
      </c>
      <c r="BY141" t="str">
        <f t="shared" si="76"/>
        <v/>
      </c>
      <c r="BZ141" t="str">
        <f t="shared" si="77"/>
        <v/>
      </c>
      <c r="CA141" t="str">
        <f t="shared" si="78"/>
        <v/>
      </c>
      <c r="CB141" t="str">
        <f t="shared" si="79"/>
        <v/>
      </c>
      <c r="CC141" t="str">
        <f t="shared" si="80"/>
        <v/>
      </c>
      <c r="CD141" t="str">
        <f t="shared" si="81"/>
        <v/>
      </c>
    </row>
    <row r="142" spans="1:82" ht="33.6" customHeight="1" x14ac:dyDescent="0.3">
      <c r="A142" s="4"/>
      <c r="B142" s="4"/>
      <c r="C142" s="4"/>
      <c r="D142" s="5"/>
      <c r="E142" s="6"/>
      <c r="F142" s="5"/>
      <c r="G142" s="6"/>
      <c r="H142" s="5"/>
      <c r="I142" s="21"/>
      <c r="J142" s="5"/>
      <c r="K142" s="6"/>
      <c r="L142" s="5"/>
      <c r="M142" s="6"/>
      <c r="N142" s="5"/>
      <c r="O142" s="6"/>
      <c r="P142" s="5"/>
      <c r="Q142" s="6"/>
      <c r="R142" s="5"/>
      <c r="S142" s="6"/>
      <c r="T142" s="5"/>
      <c r="U142" s="21"/>
      <c r="V142" s="5"/>
      <c r="W142" s="6"/>
      <c r="X142" s="5"/>
      <c r="Y142" s="6"/>
      <c r="Z142" s="5"/>
      <c r="AA142" s="6"/>
      <c r="AB142" s="5"/>
      <c r="AC142" s="6"/>
      <c r="AD142" s="5"/>
      <c r="AE142" s="6"/>
      <c r="AF142" s="5"/>
      <c r="AG142" s="21"/>
      <c r="AH142" s="5"/>
      <c r="AI142" s="6"/>
      <c r="AJ142" s="5"/>
      <c r="AK142" s="6"/>
      <c r="AL142" s="5"/>
      <c r="AM142" s="21"/>
      <c r="AN142" s="5"/>
      <c r="AO142" s="6"/>
      <c r="AP142" s="5"/>
      <c r="AQ142" s="6"/>
      <c r="AR142" s="5"/>
      <c r="AS142" s="21"/>
      <c r="AT142" s="5"/>
      <c r="AU142" s="6"/>
      <c r="AV142" s="5"/>
      <c r="AW142" s="6"/>
      <c r="AX142" s="5"/>
      <c r="AY142" s="21"/>
      <c r="AZ142" s="6"/>
      <c r="BA142" s="6"/>
      <c r="BB142" s="6"/>
      <c r="BC142" s="7" t="str">
        <f t="shared" si="56"/>
        <v/>
      </c>
      <c r="BD142" s="7" t="str">
        <f t="shared" si="57"/>
        <v/>
      </c>
      <c r="BE142" s="4"/>
      <c r="BF142" s="16"/>
      <c r="BG142" s="16" t="str">
        <f t="shared" si="58"/>
        <v/>
      </c>
      <c r="BH142" s="16" t="str">
        <f t="shared" si="59"/>
        <v/>
      </c>
      <c r="BI142" s="16" t="str">
        <f t="shared" si="60"/>
        <v/>
      </c>
      <c r="BJ142" s="16" t="str">
        <f t="shared" si="61"/>
        <v/>
      </c>
      <c r="BK142" t="str">
        <f t="shared" si="62"/>
        <v/>
      </c>
      <c r="BL142" t="str">
        <f t="shared" si="63"/>
        <v/>
      </c>
      <c r="BM142" t="str">
        <f t="shared" si="64"/>
        <v/>
      </c>
      <c r="BN142" t="str">
        <f t="shared" si="65"/>
        <v/>
      </c>
      <c r="BO142" t="str">
        <f t="shared" si="66"/>
        <v/>
      </c>
      <c r="BP142" t="str">
        <f t="shared" si="67"/>
        <v/>
      </c>
      <c r="BQ142" t="str">
        <f t="shared" si="68"/>
        <v/>
      </c>
      <c r="BR142" t="str">
        <f t="shared" si="69"/>
        <v/>
      </c>
      <c r="BS142" t="str">
        <f t="shared" si="70"/>
        <v/>
      </c>
      <c r="BT142" t="str">
        <f t="shared" si="71"/>
        <v/>
      </c>
      <c r="BU142" t="str">
        <f t="shared" si="72"/>
        <v/>
      </c>
      <c r="BV142" t="str">
        <f t="shared" si="73"/>
        <v/>
      </c>
      <c r="BW142" t="str">
        <f t="shared" si="74"/>
        <v/>
      </c>
      <c r="BX142" t="str">
        <f t="shared" si="75"/>
        <v/>
      </c>
      <c r="BY142" t="str">
        <f t="shared" si="76"/>
        <v/>
      </c>
      <c r="BZ142" t="str">
        <f t="shared" si="77"/>
        <v/>
      </c>
      <c r="CA142" t="str">
        <f t="shared" si="78"/>
        <v/>
      </c>
      <c r="CB142" t="str">
        <f t="shared" si="79"/>
        <v/>
      </c>
      <c r="CC142" t="str">
        <f t="shared" si="80"/>
        <v/>
      </c>
      <c r="CD142" t="str">
        <f t="shared" si="81"/>
        <v/>
      </c>
    </row>
    <row r="143" spans="1:82" ht="33.6" customHeight="1" x14ac:dyDescent="0.3">
      <c r="A143" s="4"/>
      <c r="B143" s="4"/>
      <c r="C143" s="4"/>
      <c r="D143" s="5"/>
      <c r="E143" s="6"/>
      <c r="F143" s="5"/>
      <c r="G143" s="6"/>
      <c r="H143" s="5"/>
      <c r="I143" s="21"/>
      <c r="J143" s="5"/>
      <c r="K143" s="6"/>
      <c r="L143" s="5"/>
      <c r="M143" s="6"/>
      <c r="N143" s="5"/>
      <c r="O143" s="6"/>
      <c r="P143" s="5"/>
      <c r="Q143" s="6"/>
      <c r="R143" s="5"/>
      <c r="S143" s="6"/>
      <c r="T143" s="5"/>
      <c r="U143" s="21"/>
      <c r="V143" s="5"/>
      <c r="W143" s="6"/>
      <c r="X143" s="5"/>
      <c r="Y143" s="6"/>
      <c r="Z143" s="5"/>
      <c r="AA143" s="6"/>
      <c r="AB143" s="5"/>
      <c r="AC143" s="6"/>
      <c r="AD143" s="5"/>
      <c r="AE143" s="6"/>
      <c r="AF143" s="5"/>
      <c r="AG143" s="21"/>
      <c r="AH143" s="5"/>
      <c r="AI143" s="6"/>
      <c r="AJ143" s="5"/>
      <c r="AK143" s="6"/>
      <c r="AL143" s="5"/>
      <c r="AM143" s="21"/>
      <c r="AN143" s="5"/>
      <c r="AO143" s="6"/>
      <c r="AP143" s="5"/>
      <c r="AQ143" s="6"/>
      <c r="AR143" s="5"/>
      <c r="AS143" s="21"/>
      <c r="AT143" s="5"/>
      <c r="AU143" s="6"/>
      <c r="AV143" s="5"/>
      <c r="AW143" s="6"/>
      <c r="AX143" s="5"/>
      <c r="AY143" s="21"/>
      <c r="AZ143" s="6"/>
      <c r="BA143" s="6"/>
      <c r="BB143" s="6"/>
      <c r="BC143" s="7" t="str">
        <f t="shared" si="56"/>
        <v/>
      </c>
      <c r="BD143" s="7" t="str">
        <f t="shared" si="57"/>
        <v/>
      </c>
      <c r="BE143" s="4"/>
      <c r="BF143" s="16"/>
      <c r="BG143" s="16" t="str">
        <f t="shared" si="58"/>
        <v/>
      </c>
      <c r="BH143" s="16" t="str">
        <f t="shared" si="59"/>
        <v/>
      </c>
      <c r="BI143" s="16" t="str">
        <f t="shared" si="60"/>
        <v/>
      </c>
      <c r="BJ143" s="16" t="str">
        <f t="shared" si="61"/>
        <v/>
      </c>
      <c r="BK143" t="str">
        <f t="shared" si="62"/>
        <v/>
      </c>
      <c r="BL143" t="str">
        <f t="shared" si="63"/>
        <v/>
      </c>
      <c r="BM143" t="str">
        <f t="shared" si="64"/>
        <v/>
      </c>
      <c r="BN143" t="str">
        <f t="shared" si="65"/>
        <v/>
      </c>
      <c r="BO143" t="str">
        <f t="shared" si="66"/>
        <v/>
      </c>
      <c r="BP143" t="str">
        <f t="shared" si="67"/>
        <v/>
      </c>
      <c r="BQ143" t="str">
        <f t="shared" si="68"/>
        <v/>
      </c>
      <c r="BR143" t="str">
        <f t="shared" si="69"/>
        <v/>
      </c>
      <c r="BS143" t="str">
        <f t="shared" si="70"/>
        <v/>
      </c>
      <c r="BT143" t="str">
        <f t="shared" si="71"/>
        <v/>
      </c>
      <c r="BU143" t="str">
        <f t="shared" si="72"/>
        <v/>
      </c>
      <c r="BV143" t="str">
        <f t="shared" si="73"/>
        <v/>
      </c>
      <c r="BW143" t="str">
        <f t="shared" si="74"/>
        <v/>
      </c>
      <c r="BX143" t="str">
        <f t="shared" si="75"/>
        <v/>
      </c>
      <c r="BY143" t="str">
        <f t="shared" si="76"/>
        <v/>
      </c>
      <c r="BZ143" t="str">
        <f t="shared" si="77"/>
        <v/>
      </c>
      <c r="CA143" t="str">
        <f t="shared" si="78"/>
        <v/>
      </c>
      <c r="CB143" t="str">
        <f t="shared" si="79"/>
        <v/>
      </c>
      <c r="CC143" t="str">
        <f t="shared" si="80"/>
        <v/>
      </c>
      <c r="CD143" t="str">
        <f t="shared" si="81"/>
        <v/>
      </c>
    </row>
    <row r="144" spans="1:82" ht="33.6" customHeight="1" x14ac:dyDescent="0.3">
      <c r="A144" s="4"/>
      <c r="B144" s="4"/>
      <c r="C144" s="4"/>
      <c r="D144" s="5"/>
      <c r="E144" s="6"/>
      <c r="F144" s="5"/>
      <c r="G144" s="6"/>
      <c r="H144" s="5"/>
      <c r="I144" s="21"/>
      <c r="J144" s="5"/>
      <c r="K144" s="6"/>
      <c r="L144" s="5"/>
      <c r="M144" s="6"/>
      <c r="N144" s="5"/>
      <c r="O144" s="6"/>
      <c r="P144" s="5"/>
      <c r="Q144" s="6"/>
      <c r="R144" s="5"/>
      <c r="S144" s="6"/>
      <c r="T144" s="5"/>
      <c r="U144" s="21"/>
      <c r="V144" s="5"/>
      <c r="W144" s="6"/>
      <c r="X144" s="5"/>
      <c r="Y144" s="6"/>
      <c r="Z144" s="5"/>
      <c r="AA144" s="6"/>
      <c r="AB144" s="5"/>
      <c r="AC144" s="6"/>
      <c r="AD144" s="5"/>
      <c r="AE144" s="6"/>
      <c r="AF144" s="5"/>
      <c r="AG144" s="21"/>
      <c r="AH144" s="5"/>
      <c r="AI144" s="6"/>
      <c r="AJ144" s="5"/>
      <c r="AK144" s="6"/>
      <c r="AL144" s="5"/>
      <c r="AM144" s="21"/>
      <c r="AN144" s="5"/>
      <c r="AO144" s="6"/>
      <c r="AP144" s="5"/>
      <c r="AQ144" s="6"/>
      <c r="AR144" s="5"/>
      <c r="AS144" s="21"/>
      <c r="AT144" s="5"/>
      <c r="AU144" s="6"/>
      <c r="AV144" s="5"/>
      <c r="AW144" s="6"/>
      <c r="AX144" s="5"/>
      <c r="AY144" s="21"/>
      <c r="AZ144" s="6"/>
      <c r="BA144" s="6"/>
      <c r="BB144" s="6"/>
      <c r="BC144" s="7" t="str">
        <f t="shared" si="56"/>
        <v/>
      </c>
      <c r="BD144" s="7" t="str">
        <f t="shared" si="57"/>
        <v/>
      </c>
      <c r="BE144" s="4"/>
      <c r="BF144" s="16"/>
      <c r="BG144" s="16" t="str">
        <f t="shared" si="58"/>
        <v/>
      </c>
      <c r="BH144" s="16" t="str">
        <f t="shared" si="59"/>
        <v/>
      </c>
      <c r="BI144" s="16" t="str">
        <f t="shared" si="60"/>
        <v/>
      </c>
      <c r="BJ144" s="16" t="str">
        <f t="shared" si="61"/>
        <v/>
      </c>
      <c r="BK144" t="str">
        <f t="shared" si="62"/>
        <v/>
      </c>
      <c r="BL144" t="str">
        <f t="shared" si="63"/>
        <v/>
      </c>
      <c r="BM144" t="str">
        <f t="shared" si="64"/>
        <v/>
      </c>
      <c r="BN144" t="str">
        <f t="shared" si="65"/>
        <v/>
      </c>
      <c r="BO144" t="str">
        <f t="shared" si="66"/>
        <v/>
      </c>
      <c r="BP144" t="str">
        <f t="shared" si="67"/>
        <v/>
      </c>
      <c r="BQ144" t="str">
        <f t="shared" si="68"/>
        <v/>
      </c>
      <c r="BR144" t="str">
        <f t="shared" si="69"/>
        <v/>
      </c>
      <c r="BS144" t="str">
        <f t="shared" si="70"/>
        <v/>
      </c>
      <c r="BT144" t="str">
        <f t="shared" si="71"/>
        <v/>
      </c>
      <c r="BU144" t="str">
        <f t="shared" si="72"/>
        <v/>
      </c>
      <c r="BV144" t="str">
        <f t="shared" si="73"/>
        <v/>
      </c>
      <c r="BW144" t="str">
        <f t="shared" si="74"/>
        <v/>
      </c>
      <c r="BX144" t="str">
        <f t="shared" si="75"/>
        <v/>
      </c>
      <c r="BY144" t="str">
        <f t="shared" si="76"/>
        <v/>
      </c>
      <c r="BZ144" t="str">
        <f t="shared" si="77"/>
        <v/>
      </c>
      <c r="CA144" t="str">
        <f t="shared" si="78"/>
        <v/>
      </c>
      <c r="CB144" t="str">
        <f t="shared" si="79"/>
        <v/>
      </c>
      <c r="CC144" t="str">
        <f t="shared" si="80"/>
        <v/>
      </c>
      <c r="CD144" t="str">
        <f t="shared" si="81"/>
        <v/>
      </c>
    </row>
    <row r="145" spans="1:82" ht="33.6" customHeight="1" x14ac:dyDescent="0.3">
      <c r="A145" s="4"/>
      <c r="B145" s="4"/>
      <c r="C145" s="4"/>
      <c r="D145" s="5"/>
      <c r="E145" s="6"/>
      <c r="F145" s="5"/>
      <c r="G145" s="6"/>
      <c r="H145" s="5"/>
      <c r="I145" s="21"/>
      <c r="J145" s="5"/>
      <c r="K145" s="6"/>
      <c r="L145" s="5"/>
      <c r="M145" s="6"/>
      <c r="N145" s="5"/>
      <c r="O145" s="6"/>
      <c r="P145" s="5"/>
      <c r="Q145" s="6"/>
      <c r="R145" s="5"/>
      <c r="S145" s="6"/>
      <c r="T145" s="5"/>
      <c r="U145" s="21"/>
      <c r="V145" s="5"/>
      <c r="W145" s="6"/>
      <c r="X145" s="5"/>
      <c r="Y145" s="6"/>
      <c r="Z145" s="5"/>
      <c r="AA145" s="6"/>
      <c r="AB145" s="5"/>
      <c r="AC145" s="6"/>
      <c r="AD145" s="5"/>
      <c r="AE145" s="6"/>
      <c r="AF145" s="5"/>
      <c r="AG145" s="21"/>
      <c r="AH145" s="5"/>
      <c r="AI145" s="6"/>
      <c r="AJ145" s="5"/>
      <c r="AK145" s="6"/>
      <c r="AL145" s="5"/>
      <c r="AM145" s="21"/>
      <c r="AN145" s="5"/>
      <c r="AO145" s="6"/>
      <c r="AP145" s="5"/>
      <c r="AQ145" s="6"/>
      <c r="AR145" s="5"/>
      <c r="AS145" s="21"/>
      <c r="AT145" s="5"/>
      <c r="AU145" s="6"/>
      <c r="AV145" s="5"/>
      <c r="AW145" s="6"/>
      <c r="AX145" s="5"/>
      <c r="AY145" s="21"/>
      <c r="AZ145" s="6"/>
      <c r="BA145" s="6"/>
      <c r="BB145" s="6"/>
      <c r="BC145" s="7" t="str">
        <f t="shared" si="56"/>
        <v/>
      </c>
      <c r="BD145" s="7" t="str">
        <f t="shared" si="57"/>
        <v/>
      </c>
      <c r="BE145" s="4"/>
      <c r="BF145" s="16"/>
      <c r="BG145" s="16" t="str">
        <f t="shared" si="58"/>
        <v/>
      </c>
      <c r="BH145" s="16" t="str">
        <f t="shared" si="59"/>
        <v/>
      </c>
      <c r="BI145" s="16" t="str">
        <f t="shared" si="60"/>
        <v/>
      </c>
      <c r="BJ145" s="16" t="str">
        <f t="shared" si="61"/>
        <v/>
      </c>
      <c r="BK145" t="str">
        <f t="shared" si="62"/>
        <v/>
      </c>
      <c r="BL145" t="str">
        <f t="shared" si="63"/>
        <v/>
      </c>
      <c r="BM145" t="str">
        <f t="shared" si="64"/>
        <v/>
      </c>
      <c r="BN145" t="str">
        <f t="shared" si="65"/>
        <v/>
      </c>
      <c r="BO145" t="str">
        <f t="shared" si="66"/>
        <v/>
      </c>
      <c r="BP145" t="str">
        <f t="shared" si="67"/>
        <v/>
      </c>
      <c r="BQ145" t="str">
        <f t="shared" si="68"/>
        <v/>
      </c>
      <c r="BR145" t="str">
        <f t="shared" si="69"/>
        <v/>
      </c>
      <c r="BS145" t="str">
        <f t="shared" si="70"/>
        <v/>
      </c>
      <c r="BT145" t="str">
        <f t="shared" si="71"/>
        <v/>
      </c>
      <c r="BU145" t="str">
        <f t="shared" si="72"/>
        <v/>
      </c>
      <c r="BV145" t="str">
        <f t="shared" si="73"/>
        <v/>
      </c>
      <c r="BW145" t="str">
        <f t="shared" si="74"/>
        <v/>
      </c>
      <c r="BX145" t="str">
        <f t="shared" si="75"/>
        <v/>
      </c>
      <c r="BY145" t="str">
        <f t="shared" si="76"/>
        <v/>
      </c>
      <c r="BZ145" t="str">
        <f t="shared" si="77"/>
        <v/>
      </c>
      <c r="CA145" t="str">
        <f t="shared" si="78"/>
        <v/>
      </c>
      <c r="CB145" t="str">
        <f t="shared" si="79"/>
        <v/>
      </c>
      <c r="CC145" t="str">
        <f t="shared" si="80"/>
        <v/>
      </c>
      <c r="CD145" t="str">
        <f t="shared" si="81"/>
        <v/>
      </c>
    </row>
    <row r="146" spans="1:82" ht="33.6" customHeight="1" x14ac:dyDescent="0.3">
      <c r="A146" s="4"/>
      <c r="B146" s="4"/>
      <c r="C146" s="4"/>
      <c r="D146" s="5"/>
      <c r="E146" s="6"/>
      <c r="F146" s="5"/>
      <c r="G146" s="6"/>
      <c r="H146" s="5"/>
      <c r="I146" s="21"/>
      <c r="J146" s="5"/>
      <c r="K146" s="6"/>
      <c r="L146" s="5"/>
      <c r="M146" s="6"/>
      <c r="N146" s="5"/>
      <c r="O146" s="6"/>
      <c r="P146" s="5"/>
      <c r="Q146" s="6"/>
      <c r="R146" s="5"/>
      <c r="S146" s="6"/>
      <c r="T146" s="5"/>
      <c r="U146" s="21"/>
      <c r="V146" s="5"/>
      <c r="W146" s="6"/>
      <c r="X146" s="5"/>
      <c r="Y146" s="6"/>
      <c r="Z146" s="5"/>
      <c r="AA146" s="6"/>
      <c r="AB146" s="5"/>
      <c r="AC146" s="6"/>
      <c r="AD146" s="5"/>
      <c r="AE146" s="6"/>
      <c r="AF146" s="5"/>
      <c r="AG146" s="21"/>
      <c r="AH146" s="5"/>
      <c r="AI146" s="6"/>
      <c r="AJ146" s="5"/>
      <c r="AK146" s="6"/>
      <c r="AL146" s="5"/>
      <c r="AM146" s="21"/>
      <c r="AN146" s="5"/>
      <c r="AO146" s="6"/>
      <c r="AP146" s="5"/>
      <c r="AQ146" s="6"/>
      <c r="AR146" s="5"/>
      <c r="AS146" s="21"/>
      <c r="AT146" s="5"/>
      <c r="AU146" s="6"/>
      <c r="AV146" s="5"/>
      <c r="AW146" s="6"/>
      <c r="AX146" s="5"/>
      <c r="AY146" s="21"/>
      <c r="AZ146" s="6"/>
      <c r="BA146" s="6"/>
      <c r="BB146" s="6"/>
      <c r="BC146" s="7" t="str">
        <f t="shared" si="56"/>
        <v/>
      </c>
      <c r="BD146" s="7" t="str">
        <f t="shared" si="57"/>
        <v/>
      </c>
      <c r="BE146" s="4"/>
      <c r="BF146" s="16"/>
      <c r="BG146" s="16" t="str">
        <f t="shared" si="58"/>
        <v/>
      </c>
      <c r="BH146" s="16" t="str">
        <f t="shared" si="59"/>
        <v/>
      </c>
      <c r="BI146" s="16" t="str">
        <f t="shared" si="60"/>
        <v/>
      </c>
      <c r="BJ146" s="16" t="str">
        <f t="shared" si="61"/>
        <v/>
      </c>
      <c r="BK146" t="str">
        <f t="shared" si="62"/>
        <v/>
      </c>
      <c r="BL146" t="str">
        <f t="shared" si="63"/>
        <v/>
      </c>
      <c r="BM146" t="str">
        <f t="shared" si="64"/>
        <v/>
      </c>
      <c r="BN146" t="str">
        <f t="shared" si="65"/>
        <v/>
      </c>
      <c r="BO146" t="str">
        <f t="shared" si="66"/>
        <v/>
      </c>
      <c r="BP146" t="str">
        <f t="shared" si="67"/>
        <v/>
      </c>
      <c r="BQ146" t="str">
        <f t="shared" si="68"/>
        <v/>
      </c>
      <c r="BR146" t="str">
        <f t="shared" si="69"/>
        <v/>
      </c>
      <c r="BS146" t="str">
        <f t="shared" si="70"/>
        <v/>
      </c>
      <c r="BT146" t="str">
        <f t="shared" si="71"/>
        <v/>
      </c>
      <c r="BU146" t="str">
        <f t="shared" si="72"/>
        <v/>
      </c>
      <c r="BV146" t="str">
        <f t="shared" si="73"/>
        <v/>
      </c>
      <c r="BW146" t="str">
        <f t="shared" si="74"/>
        <v/>
      </c>
      <c r="BX146" t="str">
        <f t="shared" si="75"/>
        <v/>
      </c>
      <c r="BY146" t="str">
        <f t="shared" si="76"/>
        <v/>
      </c>
      <c r="BZ146" t="str">
        <f t="shared" si="77"/>
        <v/>
      </c>
      <c r="CA146" t="str">
        <f t="shared" si="78"/>
        <v/>
      </c>
      <c r="CB146" t="str">
        <f t="shared" si="79"/>
        <v/>
      </c>
      <c r="CC146" t="str">
        <f t="shared" si="80"/>
        <v/>
      </c>
      <c r="CD146" t="str">
        <f t="shared" si="81"/>
        <v/>
      </c>
    </row>
    <row r="147" spans="1:82" ht="33.6" customHeight="1" x14ac:dyDescent="0.3">
      <c r="A147" s="4"/>
      <c r="B147" s="4"/>
      <c r="C147" s="4"/>
      <c r="D147" s="5"/>
      <c r="E147" s="6"/>
      <c r="F147" s="5"/>
      <c r="G147" s="6"/>
      <c r="H147" s="5"/>
      <c r="I147" s="21"/>
      <c r="J147" s="5"/>
      <c r="K147" s="6"/>
      <c r="L147" s="5"/>
      <c r="M147" s="6"/>
      <c r="N147" s="5"/>
      <c r="O147" s="6"/>
      <c r="P147" s="5"/>
      <c r="Q147" s="6"/>
      <c r="R147" s="5"/>
      <c r="S147" s="6"/>
      <c r="T147" s="5"/>
      <c r="U147" s="21"/>
      <c r="V147" s="5"/>
      <c r="W147" s="6"/>
      <c r="X147" s="5"/>
      <c r="Y147" s="6"/>
      <c r="Z147" s="5"/>
      <c r="AA147" s="6"/>
      <c r="AB147" s="5"/>
      <c r="AC147" s="6"/>
      <c r="AD147" s="5"/>
      <c r="AE147" s="6"/>
      <c r="AF147" s="5"/>
      <c r="AG147" s="21"/>
      <c r="AH147" s="5"/>
      <c r="AI147" s="6"/>
      <c r="AJ147" s="5"/>
      <c r="AK147" s="6"/>
      <c r="AL147" s="5"/>
      <c r="AM147" s="21"/>
      <c r="AN147" s="5"/>
      <c r="AO147" s="6"/>
      <c r="AP147" s="5"/>
      <c r="AQ147" s="6"/>
      <c r="AR147" s="5"/>
      <c r="AS147" s="21"/>
      <c r="AT147" s="5"/>
      <c r="AU147" s="6"/>
      <c r="AV147" s="5"/>
      <c r="AW147" s="6"/>
      <c r="AX147" s="5"/>
      <c r="AY147" s="21"/>
      <c r="AZ147" s="6"/>
      <c r="BA147" s="6"/>
      <c r="BB147" s="6"/>
      <c r="BC147" s="7" t="str">
        <f t="shared" si="56"/>
        <v/>
      </c>
      <c r="BD147" s="7" t="str">
        <f t="shared" si="57"/>
        <v/>
      </c>
      <c r="BE147" s="4"/>
      <c r="BF147" s="16"/>
      <c r="BG147" s="16" t="str">
        <f t="shared" si="58"/>
        <v/>
      </c>
      <c r="BH147" s="16" t="str">
        <f t="shared" si="59"/>
        <v/>
      </c>
      <c r="BI147" s="16" t="str">
        <f t="shared" si="60"/>
        <v/>
      </c>
      <c r="BJ147" s="16" t="str">
        <f t="shared" si="61"/>
        <v/>
      </c>
      <c r="BK147" t="str">
        <f t="shared" si="62"/>
        <v/>
      </c>
      <c r="BL147" t="str">
        <f t="shared" si="63"/>
        <v/>
      </c>
      <c r="BM147" t="str">
        <f t="shared" si="64"/>
        <v/>
      </c>
      <c r="BN147" t="str">
        <f t="shared" si="65"/>
        <v/>
      </c>
      <c r="BO147" t="str">
        <f t="shared" si="66"/>
        <v/>
      </c>
      <c r="BP147" t="str">
        <f t="shared" si="67"/>
        <v/>
      </c>
      <c r="BQ147" t="str">
        <f t="shared" si="68"/>
        <v/>
      </c>
      <c r="BR147" t="str">
        <f t="shared" si="69"/>
        <v/>
      </c>
      <c r="BS147" t="str">
        <f t="shared" si="70"/>
        <v/>
      </c>
      <c r="BT147" t="str">
        <f t="shared" si="71"/>
        <v/>
      </c>
      <c r="BU147" t="str">
        <f t="shared" si="72"/>
        <v/>
      </c>
      <c r="BV147" t="str">
        <f t="shared" si="73"/>
        <v/>
      </c>
      <c r="BW147" t="str">
        <f t="shared" si="74"/>
        <v/>
      </c>
      <c r="BX147" t="str">
        <f t="shared" si="75"/>
        <v/>
      </c>
      <c r="BY147" t="str">
        <f t="shared" si="76"/>
        <v/>
      </c>
      <c r="BZ147" t="str">
        <f t="shared" si="77"/>
        <v/>
      </c>
      <c r="CA147" t="str">
        <f t="shared" si="78"/>
        <v/>
      </c>
      <c r="CB147" t="str">
        <f t="shared" si="79"/>
        <v/>
      </c>
      <c r="CC147" t="str">
        <f t="shared" si="80"/>
        <v/>
      </c>
      <c r="CD147" t="str">
        <f t="shared" si="81"/>
        <v/>
      </c>
    </row>
    <row r="148" spans="1:82" ht="33.6" customHeight="1" x14ac:dyDescent="0.3">
      <c r="A148" s="4"/>
      <c r="B148" s="4"/>
      <c r="C148" s="4"/>
      <c r="D148" s="5"/>
      <c r="E148" s="6"/>
      <c r="F148" s="5"/>
      <c r="G148" s="6"/>
      <c r="H148" s="5"/>
      <c r="I148" s="21"/>
      <c r="J148" s="5"/>
      <c r="K148" s="6"/>
      <c r="L148" s="5"/>
      <c r="M148" s="6"/>
      <c r="N148" s="5"/>
      <c r="O148" s="6"/>
      <c r="P148" s="5"/>
      <c r="Q148" s="6"/>
      <c r="R148" s="5"/>
      <c r="S148" s="6"/>
      <c r="T148" s="5"/>
      <c r="U148" s="21"/>
      <c r="V148" s="5"/>
      <c r="W148" s="6"/>
      <c r="X148" s="5"/>
      <c r="Y148" s="6"/>
      <c r="Z148" s="5"/>
      <c r="AA148" s="6"/>
      <c r="AB148" s="5"/>
      <c r="AC148" s="6"/>
      <c r="AD148" s="5"/>
      <c r="AE148" s="6"/>
      <c r="AF148" s="5"/>
      <c r="AG148" s="21"/>
      <c r="AH148" s="5"/>
      <c r="AI148" s="6"/>
      <c r="AJ148" s="5"/>
      <c r="AK148" s="6"/>
      <c r="AL148" s="5"/>
      <c r="AM148" s="21"/>
      <c r="AN148" s="5"/>
      <c r="AO148" s="6"/>
      <c r="AP148" s="5"/>
      <c r="AQ148" s="6"/>
      <c r="AR148" s="5"/>
      <c r="AS148" s="21"/>
      <c r="AT148" s="5"/>
      <c r="AU148" s="6"/>
      <c r="AV148" s="5"/>
      <c r="AW148" s="6"/>
      <c r="AX148" s="5"/>
      <c r="AY148" s="21"/>
      <c r="AZ148" s="6"/>
      <c r="BA148" s="6"/>
      <c r="BB148" s="6"/>
      <c r="BC148" s="7" t="str">
        <f t="shared" si="56"/>
        <v/>
      </c>
      <c r="BD148" s="7" t="str">
        <f t="shared" si="57"/>
        <v/>
      </c>
      <c r="BE148" s="4"/>
      <c r="BF148" s="16"/>
      <c r="BG148" s="16" t="str">
        <f t="shared" si="58"/>
        <v/>
      </c>
      <c r="BH148" s="16" t="str">
        <f t="shared" si="59"/>
        <v/>
      </c>
      <c r="BI148" s="16" t="str">
        <f t="shared" si="60"/>
        <v/>
      </c>
      <c r="BJ148" s="16" t="str">
        <f t="shared" si="61"/>
        <v/>
      </c>
      <c r="BK148" t="str">
        <f t="shared" si="62"/>
        <v/>
      </c>
      <c r="BL148" t="str">
        <f t="shared" si="63"/>
        <v/>
      </c>
      <c r="BM148" t="str">
        <f t="shared" si="64"/>
        <v/>
      </c>
      <c r="BN148" t="str">
        <f t="shared" si="65"/>
        <v/>
      </c>
      <c r="BO148" t="str">
        <f t="shared" si="66"/>
        <v/>
      </c>
      <c r="BP148" t="str">
        <f t="shared" si="67"/>
        <v/>
      </c>
      <c r="BQ148" t="str">
        <f t="shared" si="68"/>
        <v/>
      </c>
      <c r="BR148" t="str">
        <f t="shared" si="69"/>
        <v/>
      </c>
      <c r="BS148" t="str">
        <f t="shared" si="70"/>
        <v/>
      </c>
      <c r="BT148" t="str">
        <f t="shared" si="71"/>
        <v/>
      </c>
      <c r="BU148" t="str">
        <f t="shared" si="72"/>
        <v/>
      </c>
      <c r="BV148" t="str">
        <f t="shared" si="73"/>
        <v/>
      </c>
      <c r="BW148" t="str">
        <f t="shared" si="74"/>
        <v/>
      </c>
      <c r="BX148" t="str">
        <f t="shared" si="75"/>
        <v/>
      </c>
      <c r="BY148" t="str">
        <f t="shared" si="76"/>
        <v/>
      </c>
      <c r="BZ148" t="str">
        <f t="shared" si="77"/>
        <v/>
      </c>
      <c r="CA148" t="str">
        <f t="shared" si="78"/>
        <v/>
      </c>
      <c r="CB148" t="str">
        <f t="shared" si="79"/>
        <v/>
      </c>
      <c r="CC148" t="str">
        <f t="shared" si="80"/>
        <v/>
      </c>
      <c r="CD148" t="str">
        <f t="shared" si="81"/>
        <v/>
      </c>
    </row>
    <row r="149" spans="1:82" ht="33.6" customHeight="1" x14ac:dyDescent="0.3">
      <c r="A149" s="4"/>
      <c r="B149" s="4"/>
      <c r="C149" s="4"/>
      <c r="D149" s="5"/>
      <c r="E149" s="6"/>
      <c r="F149" s="5"/>
      <c r="G149" s="6"/>
      <c r="H149" s="5"/>
      <c r="I149" s="21"/>
      <c r="J149" s="5"/>
      <c r="K149" s="6"/>
      <c r="L149" s="5"/>
      <c r="M149" s="6"/>
      <c r="N149" s="5"/>
      <c r="O149" s="6"/>
      <c r="P149" s="5"/>
      <c r="Q149" s="6"/>
      <c r="R149" s="5"/>
      <c r="S149" s="6"/>
      <c r="T149" s="5"/>
      <c r="U149" s="21"/>
      <c r="V149" s="5"/>
      <c r="W149" s="6"/>
      <c r="X149" s="5"/>
      <c r="Y149" s="6"/>
      <c r="Z149" s="5"/>
      <c r="AA149" s="6"/>
      <c r="AB149" s="5"/>
      <c r="AC149" s="6"/>
      <c r="AD149" s="5"/>
      <c r="AE149" s="6"/>
      <c r="AF149" s="5"/>
      <c r="AG149" s="21"/>
      <c r="AH149" s="5"/>
      <c r="AI149" s="6"/>
      <c r="AJ149" s="5"/>
      <c r="AK149" s="6"/>
      <c r="AL149" s="5"/>
      <c r="AM149" s="21"/>
      <c r="AN149" s="5"/>
      <c r="AO149" s="6"/>
      <c r="AP149" s="5"/>
      <c r="AQ149" s="6"/>
      <c r="AR149" s="5"/>
      <c r="AS149" s="21"/>
      <c r="AT149" s="5"/>
      <c r="AU149" s="6"/>
      <c r="AV149" s="5"/>
      <c r="AW149" s="6"/>
      <c r="AX149" s="5"/>
      <c r="AY149" s="21"/>
      <c r="AZ149" s="6"/>
      <c r="BA149" s="6"/>
      <c r="BB149" s="6"/>
      <c r="BC149" s="7" t="str">
        <f t="shared" si="56"/>
        <v/>
      </c>
      <c r="BD149" s="7" t="str">
        <f t="shared" si="57"/>
        <v/>
      </c>
      <c r="BE149" s="4"/>
      <c r="BF149" s="16"/>
      <c r="BG149" s="16" t="str">
        <f t="shared" si="58"/>
        <v/>
      </c>
      <c r="BH149" s="16" t="str">
        <f t="shared" si="59"/>
        <v/>
      </c>
      <c r="BI149" s="16" t="str">
        <f t="shared" si="60"/>
        <v/>
      </c>
      <c r="BJ149" s="16" t="str">
        <f t="shared" si="61"/>
        <v/>
      </c>
      <c r="BK149" t="str">
        <f t="shared" si="62"/>
        <v/>
      </c>
      <c r="BL149" t="str">
        <f t="shared" si="63"/>
        <v/>
      </c>
      <c r="BM149" t="str">
        <f t="shared" si="64"/>
        <v/>
      </c>
      <c r="BN149" t="str">
        <f t="shared" si="65"/>
        <v/>
      </c>
      <c r="BO149" t="str">
        <f t="shared" si="66"/>
        <v/>
      </c>
      <c r="BP149" t="str">
        <f t="shared" si="67"/>
        <v/>
      </c>
      <c r="BQ149" t="str">
        <f t="shared" si="68"/>
        <v/>
      </c>
      <c r="BR149" t="str">
        <f t="shared" si="69"/>
        <v/>
      </c>
      <c r="BS149" t="str">
        <f t="shared" si="70"/>
        <v/>
      </c>
      <c r="BT149" t="str">
        <f t="shared" si="71"/>
        <v/>
      </c>
      <c r="BU149" t="str">
        <f t="shared" si="72"/>
        <v/>
      </c>
      <c r="BV149" t="str">
        <f t="shared" si="73"/>
        <v/>
      </c>
      <c r="BW149" t="str">
        <f t="shared" si="74"/>
        <v/>
      </c>
      <c r="BX149" t="str">
        <f t="shared" si="75"/>
        <v/>
      </c>
      <c r="BY149" t="str">
        <f t="shared" si="76"/>
        <v/>
      </c>
      <c r="BZ149" t="str">
        <f t="shared" si="77"/>
        <v/>
      </c>
      <c r="CA149" t="str">
        <f t="shared" si="78"/>
        <v/>
      </c>
      <c r="CB149" t="str">
        <f t="shared" si="79"/>
        <v/>
      </c>
      <c r="CC149" t="str">
        <f t="shared" si="80"/>
        <v/>
      </c>
      <c r="CD149" t="str">
        <f t="shared" si="81"/>
        <v/>
      </c>
    </row>
    <row r="150" spans="1:82" ht="33.6" customHeight="1" x14ac:dyDescent="0.3">
      <c r="A150" s="4"/>
      <c r="B150" s="4"/>
      <c r="C150" s="4"/>
      <c r="D150" s="5"/>
      <c r="E150" s="6"/>
      <c r="F150" s="5"/>
      <c r="G150" s="6"/>
      <c r="H150" s="5"/>
      <c r="I150" s="21"/>
      <c r="J150" s="5"/>
      <c r="K150" s="6"/>
      <c r="L150" s="5"/>
      <c r="M150" s="6"/>
      <c r="N150" s="5"/>
      <c r="O150" s="6"/>
      <c r="P150" s="5"/>
      <c r="Q150" s="6"/>
      <c r="R150" s="5"/>
      <c r="S150" s="6"/>
      <c r="T150" s="5"/>
      <c r="U150" s="21"/>
      <c r="V150" s="5"/>
      <c r="W150" s="6"/>
      <c r="X150" s="5"/>
      <c r="Y150" s="6"/>
      <c r="Z150" s="5"/>
      <c r="AA150" s="6"/>
      <c r="AB150" s="5"/>
      <c r="AC150" s="6"/>
      <c r="AD150" s="5"/>
      <c r="AE150" s="6"/>
      <c r="AF150" s="5"/>
      <c r="AG150" s="21"/>
      <c r="AH150" s="5"/>
      <c r="AI150" s="6"/>
      <c r="AJ150" s="5"/>
      <c r="AK150" s="6"/>
      <c r="AL150" s="5"/>
      <c r="AM150" s="21"/>
      <c r="AN150" s="5"/>
      <c r="AO150" s="6"/>
      <c r="AP150" s="5"/>
      <c r="AQ150" s="6"/>
      <c r="AR150" s="5"/>
      <c r="AS150" s="21"/>
      <c r="AT150" s="5"/>
      <c r="AU150" s="6"/>
      <c r="AV150" s="5"/>
      <c r="AW150" s="6"/>
      <c r="AX150" s="5"/>
      <c r="AY150" s="21"/>
      <c r="AZ150" s="6"/>
      <c r="BA150" s="6"/>
      <c r="BB150" s="6"/>
      <c r="BC150" s="7" t="str">
        <f t="shared" si="56"/>
        <v/>
      </c>
      <c r="BD150" s="7" t="str">
        <f t="shared" si="57"/>
        <v/>
      </c>
      <c r="BE150" s="4"/>
      <c r="BF150" s="16"/>
      <c r="BG150" s="16" t="str">
        <f t="shared" si="58"/>
        <v/>
      </c>
      <c r="BH150" s="16" t="str">
        <f t="shared" si="59"/>
        <v/>
      </c>
      <c r="BI150" s="16" t="str">
        <f t="shared" si="60"/>
        <v/>
      </c>
      <c r="BJ150" s="16" t="str">
        <f t="shared" si="61"/>
        <v/>
      </c>
      <c r="BK150" t="str">
        <f t="shared" si="62"/>
        <v/>
      </c>
      <c r="BL150" t="str">
        <f t="shared" si="63"/>
        <v/>
      </c>
      <c r="BM150" t="str">
        <f t="shared" si="64"/>
        <v/>
      </c>
      <c r="BN150" t="str">
        <f t="shared" si="65"/>
        <v/>
      </c>
      <c r="BO150" t="str">
        <f t="shared" si="66"/>
        <v/>
      </c>
      <c r="BP150" t="str">
        <f t="shared" si="67"/>
        <v/>
      </c>
      <c r="BQ150" t="str">
        <f t="shared" si="68"/>
        <v/>
      </c>
      <c r="BR150" t="str">
        <f t="shared" si="69"/>
        <v/>
      </c>
      <c r="BS150" t="str">
        <f t="shared" si="70"/>
        <v/>
      </c>
      <c r="BT150" t="str">
        <f t="shared" si="71"/>
        <v/>
      </c>
      <c r="BU150" t="str">
        <f t="shared" si="72"/>
        <v/>
      </c>
      <c r="BV150" t="str">
        <f t="shared" si="73"/>
        <v/>
      </c>
      <c r="BW150" t="str">
        <f t="shared" si="74"/>
        <v/>
      </c>
      <c r="BX150" t="str">
        <f t="shared" si="75"/>
        <v/>
      </c>
      <c r="BY150" t="str">
        <f t="shared" si="76"/>
        <v/>
      </c>
      <c r="BZ150" t="str">
        <f t="shared" si="77"/>
        <v/>
      </c>
      <c r="CA150" t="str">
        <f t="shared" si="78"/>
        <v/>
      </c>
      <c r="CB150" t="str">
        <f t="shared" si="79"/>
        <v/>
      </c>
      <c r="CC150" t="str">
        <f t="shared" si="80"/>
        <v/>
      </c>
      <c r="CD150" t="str">
        <f t="shared" si="81"/>
        <v/>
      </c>
    </row>
    <row r="151" spans="1:82" ht="33.6" customHeight="1" x14ac:dyDescent="0.3">
      <c r="A151" s="4"/>
      <c r="B151" s="4"/>
      <c r="C151" s="4"/>
      <c r="D151" s="5"/>
      <c r="E151" s="6"/>
      <c r="F151" s="5"/>
      <c r="G151" s="6"/>
      <c r="H151" s="5"/>
      <c r="I151" s="21"/>
      <c r="J151" s="5"/>
      <c r="K151" s="6"/>
      <c r="L151" s="5"/>
      <c r="M151" s="6"/>
      <c r="N151" s="5"/>
      <c r="O151" s="6"/>
      <c r="P151" s="5"/>
      <c r="Q151" s="6"/>
      <c r="R151" s="5"/>
      <c r="S151" s="6"/>
      <c r="T151" s="5"/>
      <c r="U151" s="21"/>
      <c r="V151" s="5"/>
      <c r="W151" s="6"/>
      <c r="X151" s="5"/>
      <c r="Y151" s="6"/>
      <c r="Z151" s="5"/>
      <c r="AA151" s="6"/>
      <c r="AB151" s="5"/>
      <c r="AC151" s="6"/>
      <c r="AD151" s="5"/>
      <c r="AE151" s="6"/>
      <c r="AF151" s="5"/>
      <c r="AG151" s="21"/>
      <c r="AH151" s="5"/>
      <c r="AI151" s="6"/>
      <c r="AJ151" s="5"/>
      <c r="AK151" s="6"/>
      <c r="AL151" s="5"/>
      <c r="AM151" s="21"/>
      <c r="AN151" s="5"/>
      <c r="AO151" s="6"/>
      <c r="AP151" s="5"/>
      <c r="AQ151" s="6"/>
      <c r="AR151" s="5"/>
      <c r="AS151" s="21"/>
      <c r="AT151" s="5"/>
      <c r="AU151" s="6"/>
      <c r="AV151" s="5"/>
      <c r="AW151" s="6"/>
      <c r="AX151" s="5"/>
      <c r="AY151" s="21"/>
      <c r="AZ151" s="6"/>
      <c r="BA151" s="6"/>
      <c r="BB151" s="6"/>
      <c r="BC151" s="7" t="str">
        <f t="shared" si="56"/>
        <v/>
      </c>
      <c r="BD151" s="7" t="str">
        <f t="shared" si="57"/>
        <v/>
      </c>
      <c r="BE151" s="4"/>
      <c r="BF151" s="16"/>
      <c r="BG151" s="16" t="str">
        <f t="shared" si="58"/>
        <v/>
      </c>
      <c r="BH151" s="16" t="str">
        <f t="shared" si="59"/>
        <v/>
      </c>
      <c r="BI151" s="16" t="str">
        <f t="shared" si="60"/>
        <v/>
      </c>
      <c r="BJ151" s="16" t="str">
        <f t="shared" si="61"/>
        <v/>
      </c>
      <c r="BK151" t="str">
        <f t="shared" si="62"/>
        <v/>
      </c>
      <c r="BL151" t="str">
        <f t="shared" si="63"/>
        <v/>
      </c>
      <c r="BM151" t="str">
        <f t="shared" si="64"/>
        <v/>
      </c>
      <c r="BN151" t="str">
        <f t="shared" si="65"/>
        <v/>
      </c>
      <c r="BO151" t="str">
        <f t="shared" si="66"/>
        <v/>
      </c>
      <c r="BP151" t="str">
        <f t="shared" si="67"/>
        <v/>
      </c>
      <c r="BQ151" t="str">
        <f t="shared" si="68"/>
        <v/>
      </c>
      <c r="BR151" t="str">
        <f t="shared" si="69"/>
        <v/>
      </c>
      <c r="BS151" t="str">
        <f t="shared" si="70"/>
        <v/>
      </c>
      <c r="BT151" t="str">
        <f t="shared" si="71"/>
        <v/>
      </c>
      <c r="BU151" t="str">
        <f t="shared" si="72"/>
        <v/>
      </c>
      <c r="BV151" t="str">
        <f t="shared" si="73"/>
        <v/>
      </c>
      <c r="BW151" t="str">
        <f t="shared" si="74"/>
        <v/>
      </c>
      <c r="BX151" t="str">
        <f t="shared" si="75"/>
        <v/>
      </c>
      <c r="BY151" t="str">
        <f t="shared" si="76"/>
        <v/>
      </c>
      <c r="BZ151" t="str">
        <f t="shared" si="77"/>
        <v/>
      </c>
      <c r="CA151" t="str">
        <f t="shared" si="78"/>
        <v/>
      </c>
      <c r="CB151" t="str">
        <f t="shared" si="79"/>
        <v/>
      </c>
      <c r="CC151" t="str">
        <f t="shared" si="80"/>
        <v/>
      </c>
      <c r="CD151" t="str">
        <f t="shared" si="81"/>
        <v/>
      </c>
    </row>
    <row r="152" spans="1:82" ht="33.6" customHeight="1" x14ac:dyDescent="0.3">
      <c r="A152" s="4"/>
      <c r="B152" s="4"/>
      <c r="C152" s="4"/>
      <c r="D152" s="5"/>
      <c r="E152" s="6"/>
      <c r="F152" s="5"/>
      <c r="G152" s="6"/>
      <c r="H152" s="5"/>
      <c r="I152" s="21"/>
      <c r="J152" s="5"/>
      <c r="K152" s="6"/>
      <c r="L152" s="5"/>
      <c r="M152" s="6"/>
      <c r="N152" s="5"/>
      <c r="O152" s="6"/>
      <c r="P152" s="5"/>
      <c r="Q152" s="6"/>
      <c r="R152" s="5"/>
      <c r="S152" s="6"/>
      <c r="T152" s="5"/>
      <c r="U152" s="21"/>
      <c r="V152" s="5"/>
      <c r="W152" s="6"/>
      <c r="X152" s="5"/>
      <c r="Y152" s="6"/>
      <c r="Z152" s="5"/>
      <c r="AA152" s="6"/>
      <c r="AB152" s="5"/>
      <c r="AC152" s="6"/>
      <c r="AD152" s="5"/>
      <c r="AE152" s="6"/>
      <c r="AF152" s="5"/>
      <c r="AG152" s="21"/>
      <c r="AH152" s="5"/>
      <c r="AI152" s="6"/>
      <c r="AJ152" s="5"/>
      <c r="AK152" s="6"/>
      <c r="AL152" s="5"/>
      <c r="AM152" s="21"/>
      <c r="AN152" s="5"/>
      <c r="AO152" s="6"/>
      <c r="AP152" s="5"/>
      <c r="AQ152" s="6"/>
      <c r="AR152" s="5"/>
      <c r="AS152" s="21"/>
      <c r="AT152" s="5"/>
      <c r="AU152" s="6"/>
      <c r="AV152" s="5"/>
      <c r="AW152" s="6"/>
      <c r="AX152" s="5"/>
      <c r="AY152" s="21"/>
      <c r="AZ152" s="6"/>
      <c r="BA152" s="6"/>
      <c r="BB152" s="6"/>
      <c r="BC152" s="7" t="str">
        <f t="shared" si="56"/>
        <v/>
      </c>
      <c r="BD152" s="7" t="str">
        <f t="shared" si="57"/>
        <v/>
      </c>
      <c r="BE152" s="4"/>
      <c r="BF152" s="16"/>
      <c r="BG152" s="16" t="str">
        <f t="shared" si="58"/>
        <v/>
      </c>
      <c r="BH152" s="16" t="str">
        <f t="shared" si="59"/>
        <v/>
      </c>
      <c r="BI152" s="16" t="str">
        <f t="shared" si="60"/>
        <v/>
      </c>
      <c r="BJ152" s="16" t="str">
        <f t="shared" si="61"/>
        <v/>
      </c>
      <c r="BK152" t="str">
        <f t="shared" si="62"/>
        <v/>
      </c>
      <c r="BL152" t="str">
        <f t="shared" si="63"/>
        <v/>
      </c>
      <c r="BM152" t="str">
        <f t="shared" si="64"/>
        <v/>
      </c>
      <c r="BN152" t="str">
        <f t="shared" si="65"/>
        <v/>
      </c>
      <c r="BO152" t="str">
        <f t="shared" si="66"/>
        <v/>
      </c>
      <c r="BP152" t="str">
        <f t="shared" si="67"/>
        <v/>
      </c>
      <c r="BQ152" t="str">
        <f t="shared" si="68"/>
        <v/>
      </c>
      <c r="BR152" t="str">
        <f t="shared" si="69"/>
        <v/>
      </c>
      <c r="BS152" t="str">
        <f t="shared" si="70"/>
        <v/>
      </c>
      <c r="BT152" t="str">
        <f t="shared" si="71"/>
        <v/>
      </c>
      <c r="BU152" t="str">
        <f t="shared" si="72"/>
        <v/>
      </c>
      <c r="BV152" t="str">
        <f t="shared" si="73"/>
        <v/>
      </c>
      <c r="BW152" t="str">
        <f t="shared" si="74"/>
        <v/>
      </c>
      <c r="BX152" t="str">
        <f t="shared" si="75"/>
        <v/>
      </c>
      <c r="BY152" t="str">
        <f t="shared" si="76"/>
        <v/>
      </c>
      <c r="BZ152" t="str">
        <f t="shared" si="77"/>
        <v/>
      </c>
      <c r="CA152" t="str">
        <f t="shared" si="78"/>
        <v/>
      </c>
      <c r="CB152" t="str">
        <f t="shared" si="79"/>
        <v/>
      </c>
      <c r="CC152" t="str">
        <f t="shared" si="80"/>
        <v/>
      </c>
      <c r="CD152" t="str">
        <f t="shared" si="81"/>
        <v/>
      </c>
    </row>
    <row r="153" spans="1:82" ht="33.6" customHeight="1" x14ac:dyDescent="0.3">
      <c r="A153" s="4"/>
      <c r="B153" s="4"/>
      <c r="C153" s="4"/>
      <c r="D153" s="5"/>
      <c r="E153" s="6"/>
      <c r="F153" s="5"/>
      <c r="G153" s="6"/>
      <c r="H153" s="5"/>
      <c r="I153" s="21"/>
      <c r="J153" s="5"/>
      <c r="K153" s="6"/>
      <c r="L153" s="5"/>
      <c r="M153" s="6"/>
      <c r="N153" s="5"/>
      <c r="O153" s="6"/>
      <c r="P153" s="5"/>
      <c r="Q153" s="6"/>
      <c r="R153" s="5"/>
      <c r="S153" s="6"/>
      <c r="T153" s="5"/>
      <c r="U153" s="21"/>
      <c r="V153" s="5"/>
      <c r="W153" s="6"/>
      <c r="X153" s="5"/>
      <c r="Y153" s="6"/>
      <c r="Z153" s="5"/>
      <c r="AA153" s="6"/>
      <c r="AB153" s="5"/>
      <c r="AC153" s="6"/>
      <c r="AD153" s="5"/>
      <c r="AE153" s="6"/>
      <c r="AF153" s="5"/>
      <c r="AG153" s="21"/>
      <c r="AH153" s="5"/>
      <c r="AI153" s="6"/>
      <c r="AJ153" s="5"/>
      <c r="AK153" s="6"/>
      <c r="AL153" s="5"/>
      <c r="AM153" s="21"/>
      <c r="AN153" s="5"/>
      <c r="AO153" s="6"/>
      <c r="AP153" s="5"/>
      <c r="AQ153" s="6"/>
      <c r="AR153" s="5"/>
      <c r="AS153" s="21"/>
      <c r="AT153" s="5"/>
      <c r="AU153" s="6"/>
      <c r="AV153" s="5"/>
      <c r="AW153" s="6"/>
      <c r="AX153" s="5"/>
      <c r="AY153" s="21"/>
      <c r="AZ153" s="6"/>
      <c r="BA153" s="6"/>
      <c r="BB153" s="6"/>
      <c r="BC153" s="7" t="str">
        <f t="shared" si="56"/>
        <v/>
      </c>
      <c r="BD153" s="7" t="str">
        <f t="shared" si="57"/>
        <v/>
      </c>
      <c r="BE153" s="4"/>
      <c r="BF153" s="16"/>
      <c r="BG153" s="16" t="str">
        <f t="shared" si="58"/>
        <v/>
      </c>
      <c r="BH153" s="16" t="str">
        <f t="shared" si="59"/>
        <v/>
      </c>
      <c r="BI153" s="16" t="str">
        <f t="shared" si="60"/>
        <v/>
      </c>
      <c r="BJ153" s="16" t="str">
        <f t="shared" si="61"/>
        <v/>
      </c>
      <c r="BK153" t="str">
        <f t="shared" si="62"/>
        <v/>
      </c>
      <c r="BL153" t="str">
        <f t="shared" si="63"/>
        <v/>
      </c>
      <c r="BM153" t="str">
        <f t="shared" si="64"/>
        <v/>
      </c>
      <c r="BN153" t="str">
        <f t="shared" si="65"/>
        <v/>
      </c>
      <c r="BO153" t="str">
        <f t="shared" si="66"/>
        <v/>
      </c>
      <c r="BP153" t="str">
        <f t="shared" si="67"/>
        <v/>
      </c>
      <c r="BQ153" t="str">
        <f t="shared" si="68"/>
        <v/>
      </c>
      <c r="BR153" t="str">
        <f t="shared" si="69"/>
        <v/>
      </c>
      <c r="BS153" t="str">
        <f t="shared" si="70"/>
        <v/>
      </c>
      <c r="BT153" t="str">
        <f t="shared" si="71"/>
        <v/>
      </c>
      <c r="BU153" t="str">
        <f t="shared" si="72"/>
        <v/>
      </c>
      <c r="BV153" t="str">
        <f t="shared" si="73"/>
        <v/>
      </c>
      <c r="BW153" t="str">
        <f t="shared" si="74"/>
        <v/>
      </c>
      <c r="BX153" t="str">
        <f t="shared" si="75"/>
        <v/>
      </c>
      <c r="BY153" t="str">
        <f t="shared" si="76"/>
        <v/>
      </c>
      <c r="BZ153" t="str">
        <f t="shared" si="77"/>
        <v/>
      </c>
      <c r="CA153" t="str">
        <f t="shared" si="78"/>
        <v/>
      </c>
      <c r="CB153" t="str">
        <f t="shared" si="79"/>
        <v/>
      </c>
      <c r="CC153" t="str">
        <f t="shared" si="80"/>
        <v/>
      </c>
      <c r="CD153" t="str">
        <f t="shared" si="81"/>
        <v/>
      </c>
    </row>
    <row r="154" spans="1:82" ht="33.6" customHeight="1" x14ac:dyDescent="0.3">
      <c r="A154" s="4"/>
      <c r="B154" s="4"/>
      <c r="C154" s="4"/>
      <c r="D154" s="5"/>
      <c r="E154" s="6"/>
      <c r="F154" s="5"/>
      <c r="G154" s="6"/>
      <c r="H154" s="5"/>
      <c r="I154" s="21"/>
      <c r="J154" s="5"/>
      <c r="K154" s="6"/>
      <c r="L154" s="5"/>
      <c r="M154" s="6"/>
      <c r="N154" s="5"/>
      <c r="O154" s="6"/>
      <c r="P154" s="5"/>
      <c r="Q154" s="6"/>
      <c r="R154" s="5"/>
      <c r="S154" s="6"/>
      <c r="T154" s="5"/>
      <c r="U154" s="21"/>
      <c r="V154" s="5"/>
      <c r="W154" s="6"/>
      <c r="X154" s="5"/>
      <c r="Y154" s="6"/>
      <c r="Z154" s="5"/>
      <c r="AA154" s="6"/>
      <c r="AB154" s="5"/>
      <c r="AC154" s="6"/>
      <c r="AD154" s="5"/>
      <c r="AE154" s="6"/>
      <c r="AF154" s="5"/>
      <c r="AG154" s="21"/>
      <c r="AH154" s="5"/>
      <c r="AI154" s="6"/>
      <c r="AJ154" s="5"/>
      <c r="AK154" s="6"/>
      <c r="AL154" s="5"/>
      <c r="AM154" s="21"/>
      <c r="AN154" s="5"/>
      <c r="AO154" s="6"/>
      <c r="AP154" s="5"/>
      <c r="AQ154" s="6"/>
      <c r="AR154" s="5"/>
      <c r="AS154" s="21"/>
      <c r="AT154" s="5"/>
      <c r="AU154" s="6"/>
      <c r="AV154" s="5"/>
      <c r="AW154" s="6"/>
      <c r="AX154" s="5"/>
      <c r="AY154" s="21"/>
      <c r="AZ154" s="6"/>
      <c r="BA154" s="6"/>
      <c r="BB154" s="6"/>
      <c r="BC154" s="7" t="str">
        <f t="shared" si="56"/>
        <v/>
      </c>
      <c r="BD154" s="7" t="str">
        <f t="shared" si="57"/>
        <v/>
      </c>
      <c r="BE154" s="4"/>
      <c r="BF154" s="16"/>
      <c r="BG154" s="16" t="str">
        <f t="shared" si="58"/>
        <v/>
      </c>
      <c r="BH154" s="16" t="str">
        <f t="shared" si="59"/>
        <v/>
      </c>
      <c r="BI154" s="16" t="str">
        <f t="shared" si="60"/>
        <v/>
      </c>
      <c r="BJ154" s="16" t="str">
        <f t="shared" si="61"/>
        <v/>
      </c>
      <c r="BK154" t="str">
        <f t="shared" si="62"/>
        <v/>
      </c>
      <c r="BL154" t="str">
        <f t="shared" si="63"/>
        <v/>
      </c>
      <c r="BM154" t="str">
        <f t="shared" si="64"/>
        <v/>
      </c>
      <c r="BN154" t="str">
        <f t="shared" si="65"/>
        <v/>
      </c>
      <c r="BO154" t="str">
        <f t="shared" si="66"/>
        <v/>
      </c>
      <c r="BP154" t="str">
        <f t="shared" si="67"/>
        <v/>
      </c>
      <c r="BQ154" t="str">
        <f t="shared" si="68"/>
        <v/>
      </c>
      <c r="BR154" t="str">
        <f t="shared" si="69"/>
        <v/>
      </c>
      <c r="BS154" t="str">
        <f t="shared" si="70"/>
        <v/>
      </c>
      <c r="BT154" t="str">
        <f t="shared" si="71"/>
        <v/>
      </c>
      <c r="BU154" t="str">
        <f t="shared" si="72"/>
        <v/>
      </c>
      <c r="BV154" t="str">
        <f t="shared" si="73"/>
        <v/>
      </c>
      <c r="BW154" t="str">
        <f t="shared" si="74"/>
        <v/>
      </c>
      <c r="BX154" t="str">
        <f t="shared" si="75"/>
        <v/>
      </c>
      <c r="BY154" t="str">
        <f t="shared" si="76"/>
        <v/>
      </c>
      <c r="BZ154" t="str">
        <f t="shared" si="77"/>
        <v/>
      </c>
      <c r="CA154" t="str">
        <f t="shared" si="78"/>
        <v/>
      </c>
      <c r="CB154" t="str">
        <f t="shared" si="79"/>
        <v/>
      </c>
      <c r="CC154" t="str">
        <f t="shared" si="80"/>
        <v/>
      </c>
      <c r="CD154" t="str">
        <f t="shared" si="81"/>
        <v/>
      </c>
    </row>
    <row r="155" spans="1:82" ht="33.6" customHeight="1" x14ac:dyDescent="0.3">
      <c r="A155" s="4"/>
      <c r="B155" s="4"/>
      <c r="C155" s="4"/>
      <c r="D155" s="5"/>
      <c r="E155" s="6"/>
      <c r="F155" s="5"/>
      <c r="G155" s="6"/>
      <c r="H155" s="5"/>
      <c r="I155" s="21"/>
      <c r="J155" s="5"/>
      <c r="K155" s="6"/>
      <c r="L155" s="5"/>
      <c r="M155" s="6"/>
      <c r="N155" s="5"/>
      <c r="O155" s="6"/>
      <c r="P155" s="5"/>
      <c r="Q155" s="6"/>
      <c r="R155" s="5"/>
      <c r="S155" s="6"/>
      <c r="T155" s="5"/>
      <c r="U155" s="21"/>
      <c r="V155" s="5"/>
      <c r="W155" s="6"/>
      <c r="X155" s="5"/>
      <c r="Y155" s="6"/>
      <c r="Z155" s="5"/>
      <c r="AA155" s="6"/>
      <c r="AB155" s="5"/>
      <c r="AC155" s="6"/>
      <c r="AD155" s="5"/>
      <c r="AE155" s="6"/>
      <c r="AF155" s="5"/>
      <c r="AG155" s="21"/>
      <c r="AH155" s="5"/>
      <c r="AI155" s="6"/>
      <c r="AJ155" s="5"/>
      <c r="AK155" s="6"/>
      <c r="AL155" s="5"/>
      <c r="AM155" s="21"/>
      <c r="AN155" s="5"/>
      <c r="AO155" s="6"/>
      <c r="AP155" s="5"/>
      <c r="AQ155" s="6"/>
      <c r="AR155" s="5"/>
      <c r="AS155" s="21"/>
      <c r="AT155" s="5"/>
      <c r="AU155" s="6"/>
      <c r="AV155" s="5"/>
      <c r="AW155" s="6"/>
      <c r="AX155" s="5"/>
      <c r="AY155" s="21"/>
      <c r="AZ155" s="6"/>
      <c r="BA155" s="6"/>
      <c r="BB155" s="6"/>
      <c r="BC155" s="7" t="str">
        <f t="shared" si="56"/>
        <v/>
      </c>
      <c r="BD155" s="7" t="str">
        <f t="shared" si="57"/>
        <v/>
      </c>
      <c r="BE155" s="4"/>
      <c r="BF155" s="16"/>
      <c r="BG155" s="16" t="str">
        <f t="shared" si="58"/>
        <v/>
      </c>
      <c r="BH155" s="16" t="str">
        <f t="shared" si="59"/>
        <v/>
      </c>
      <c r="BI155" s="16" t="str">
        <f t="shared" si="60"/>
        <v/>
      </c>
      <c r="BJ155" s="16" t="str">
        <f t="shared" si="61"/>
        <v/>
      </c>
      <c r="BK155" t="str">
        <f t="shared" si="62"/>
        <v/>
      </c>
      <c r="BL155" t="str">
        <f t="shared" si="63"/>
        <v/>
      </c>
      <c r="BM155" t="str">
        <f t="shared" si="64"/>
        <v/>
      </c>
      <c r="BN155" t="str">
        <f t="shared" si="65"/>
        <v/>
      </c>
      <c r="BO155" t="str">
        <f t="shared" si="66"/>
        <v/>
      </c>
      <c r="BP155" t="str">
        <f t="shared" si="67"/>
        <v/>
      </c>
      <c r="BQ155" t="str">
        <f t="shared" si="68"/>
        <v/>
      </c>
      <c r="BR155" t="str">
        <f t="shared" si="69"/>
        <v/>
      </c>
      <c r="BS155" t="str">
        <f t="shared" si="70"/>
        <v/>
      </c>
      <c r="BT155" t="str">
        <f t="shared" si="71"/>
        <v/>
      </c>
      <c r="BU155" t="str">
        <f t="shared" si="72"/>
        <v/>
      </c>
      <c r="BV155" t="str">
        <f t="shared" si="73"/>
        <v/>
      </c>
      <c r="BW155" t="str">
        <f t="shared" si="74"/>
        <v/>
      </c>
      <c r="BX155" t="str">
        <f t="shared" si="75"/>
        <v/>
      </c>
      <c r="BY155" t="str">
        <f t="shared" si="76"/>
        <v/>
      </c>
      <c r="BZ155" t="str">
        <f t="shared" si="77"/>
        <v/>
      </c>
      <c r="CA155" t="str">
        <f t="shared" si="78"/>
        <v/>
      </c>
      <c r="CB155" t="str">
        <f t="shared" si="79"/>
        <v/>
      </c>
      <c r="CC155" t="str">
        <f t="shared" si="80"/>
        <v/>
      </c>
      <c r="CD155" t="str">
        <f t="shared" si="81"/>
        <v/>
      </c>
    </row>
    <row r="156" spans="1:82" ht="33.6" customHeight="1" x14ac:dyDescent="0.3">
      <c r="A156" s="4"/>
      <c r="B156" s="4"/>
      <c r="C156" s="4"/>
      <c r="D156" s="5"/>
      <c r="E156" s="6"/>
      <c r="F156" s="5"/>
      <c r="G156" s="6"/>
      <c r="H156" s="5"/>
      <c r="I156" s="21"/>
      <c r="J156" s="5"/>
      <c r="K156" s="6"/>
      <c r="L156" s="5"/>
      <c r="M156" s="6"/>
      <c r="N156" s="5"/>
      <c r="O156" s="6"/>
      <c r="P156" s="5"/>
      <c r="Q156" s="6"/>
      <c r="R156" s="5"/>
      <c r="S156" s="6"/>
      <c r="T156" s="5"/>
      <c r="U156" s="21"/>
      <c r="V156" s="5"/>
      <c r="W156" s="6"/>
      <c r="X156" s="5"/>
      <c r="Y156" s="6"/>
      <c r="Z156" s="5"/>
      <c r="AA156" s="6"/>
      <c r="AB156" s="5"/>
      <c r="AC156" s="6"/>
      <c r="AD156" s="5"/>
      <c r="AE156" s="6"/>
      <c r="AF156" s="5"/>
      <c r="AG156" s="21"/>
      <c r="AH156" s="5"/>
      <c r="AI156" s="6"/>
      <c r="AJ156" s="5"/>
      <c r="AK156" s="6"/>
      <c r="AL156" s="5"/>
      <c r="AM156" s="21"/>
      <c r="AN156" s="5"/>
      <c r="AO156" s="6"/>
      <c r="AP156" s="5"/>
      <c r="AQ156" s="6"/>
      <c r="AR156" s="5"/>
      <c r="AS156" s="21"/>
      <c r="AT156" s="5"/>
      <c r="AU156" s="6"/>
      <c r="AV156" s="5"/>
      <c r="AW156" s="6"/>
      <c r="AX156" s="5"/>
      <c r="AY156" s="21"/>
      <c r="AZ156" s="6"/>
      <c r="BA156" s="6"/>
      <c r="BB156" s="6"/>
      <c r="BC156" s="7" t="str">
        <f t="shared" si="56"/>
        <v/>
      </c>
      <c r="BD156" s="7" t="str">
        <f t="shared" si="57"/>
        <v/>
      </c>
      <c r="BE156" s="4"/>
      <c r="BF156" s="16"/>
      <c r="BG156" s="16" t="str">
        <f t="shared" si="58"/>
        <v/>
      </c>
      <c r="BH156" s="16" t="str">
        <f t="shared" si="59"/>
        <v/>
      </c>
      <c r="BI156" s="16" t="str">
        <f t="shared" si="60"/>
        <v/>
      </c>
      <c r="BJ156" s="16" t="str">
        <f t="shared" si="61"/>
        <v/>
      </c>
      <c r="BK156" t="str">
        <f t="shared" si="62"/>
        <v/>
      </c>
      <c r="BL156" t="str">
        <f t="shared" si="63"/>
        <v/>
      </c>
      <c r="BM156" t="str">
        <f t="shared" si="64"/>
        <v/>
      </c>
      <c r="BN156" t="str">
        <f t="shared" si="65"/>
        <v/>
      </c>
      <c r="BO156" t="str">
        <f t="shared" si="66"/>
        <v/>
      </c>
      <c r="BP156" t="str">
        <f t="shared" si="67"/>
        <v/>
      </c>
      <c r="BQ156" t="str">
        <f t="shared" si="68"/>
        <v/>
      </c>
      <c r="BR156" t="str">
        <f t="shared" si="69"/>
        <v/>
      </c>
      <c r="BS156" t="str">
        <f t="shared" si="70"/>
        <v/>
      </c>
      <c r="BT156" t="str">
        <f t="shared" si="71"/>
        <v/>
      </c>
      <c r="BU156" t="str">
        <f t="shared" si="72"/>
        <v/>
      </c>
      <c r="BV156" t="str">
        <f t="shared" si="73"/>
        <v/>
      </c>
      <c r="BW156" t="str">
        <f t="shared" si="74"/>
        <v/>
      </c>
      <c r="BX156" t="str">
        <f t="shared" si="75"/>
        <v/>
      </c>
      <c r="BY156" t="str">
        <f t="shared" si="76"/>
        <v/>
      </c>
      <c r="BZ156" t="str">
        <f t="shared" si="77"/>
        <v/>
      </c>
      <c r="CA156" t="str">
        <f t="shared" si="78"/>
        <v/>
      </c>
      <c r="CB156" t="str">
        <f t="shared" si="79"/>
        <v/>
      </c>
      <c r="CC156" t="str">
        <f t="shared" si="80"/>
        <v/>
      </c>
      <c r="CD156" t="str">
        <f t="shared" si="81"/>
        <v/>
      </c>
    </row>
    <row r="157" spans="1:82" ht="33.6" customHeight="1" x14ac:dyDescent="0.3">
      <c r="A157" s="4"/>
      <c r="B157" s="4"/>
      <c r="C157" s="4"/>
      <c r="D157" s="5"/>
      <c r="E157" s="6"/>
      <c r="F157" s="5"/>
      <c r="G157" s="6"/>
      <c r="H157" s="5"/>
      <c r="I157" s="21"/>
      <c r="J157" s="5"/>
      <c r="K157" s="6"/>
      <c r="L157" s="5"/>
      <c r="M157" s="6"/>
      <c r="N157" s="5"/>
      <c r="O157" s="6"/>
      <c r="P157" s="5"/>
      <c r="Q157" s="6"/>
      <c r="R157" s="5"/>
      <c r="S157" s="6"/>
      <c r="T157" s="5"/>
      <c r="U157" s="21"/>
      <c r="V157" s="5"/>
      <c r="W157" s="6"/>
      <c r="X157" s="5"/>
      <c r="Y157" s="6"/>
      <c r="Z157" s="5"/>
      <c r="AA157" s="6"/>
      <c r="AB157" s="5"/>
      <c r="AC157" s="6"/>
      <c r="AD157" s="5"/>
      <c r="AE157" s="6"/>
      <c r="AF157" s="5"/>
      <c r="AG157" s="21"/>
      <c r="AH157" s="5"/>
      <c r="AI157" s="6"/>
      <c r="AJ157" s="5"/>
      <c r="AK157" s="6"/>
      <c r="AL157" s="5"/>
      <c r="AM157" s="21"/>
      <c r="AN157" s="5"/>
      <c r="AO157" s="6"/>
      <c r="AP157" s="5"/>
      <c r="AQ157" s="6"/>
      <c r="AR157" s="5"/>
      <c r="AS157" s="21"/>
      <c r="AT157" s="5"/>
      <c r="AU157" s="6"/>
      <c r="AV157" s="5"/>
      <c r="AW157" s="6"/>
      <c r="AX157" s="5"/>
      <c r="AY157" s="21"/>
      <c r="AZ157" s="6"/>
      <c r="BA157" s="6"/>
      <c r="BB157" s="6"/>
      <c r="BC157" s="7" t="str">
        <f t="shared" si="56"/>
        <v/>
      </c>
      <c r="BD157" s="7" t="str">
        <f t="shared" si="57"/>
        <v/>
      </c>
      <c r="BE157" s="4"/>
      <c r="BF157" s="16"/>
      <c r="BG157" s="16" t="str">
        <f t="shared" si="58"/>
        <v/>
      </c>
      <c r="BH157" s="16" t="str">
        <f t="shared" si="59"/>
        <v/>
      </c>
      <c r="BI157" s="16" t="str">
        <f t="shared" si="60"/>
        <v/>
      </c>
      <c r="BJ157" s="16" t="str">
        <f t="shared" si="61"/>
        <v/>
      </c>
      <c r="BK157" t="str">
        <f t="shared" si="62"/>
        <v/>
      </c>
      <c r="BL157" t="str">
        <f t="shared" si="63"/>
        <v/>
      </c>
      <c r="BM157" t="str">
        <f t="shared" si="64"/>
        <v/>
      </c>
      <c r="BN157" t="str">
        <f t="shared" si="65"/>
        <v/>
      </c>
      <c r="BO157" t="str">
        <f t="shared" si="66"/>
        <v/>
      </c>
      <c r="BP157" t="str">
        <f t="shared" si="67"/>
        <v/>
      </c>
      <c r="BQ157" t="str">
        <f t="shared" si="68"/>
        <v/>
      </c>
      <c r="BR157" t="str">
        <f t="shared" si="69"/>
        <v/>
      </c>
      <c r="BS157" t="str">
        <f t="shared" si="70"/>
        <v/>
      </c>
      <c r="BT157" t="str">
        <f t="shared" si="71"/>
        <v/>
      </c>
      <c r="BU157" t="str">
        <f t="shared" si="72"/>
        <v/>
      </c>
      <c r="BV157" t="str">
        <f t="shared" si="73"/>
        <v/>
      </c>
      <c r="BW157" t="str">
        <f t="shared" si="74"/>
        <v/>
      </c>
      <c r="BX157" t="str">
        <f t="shared" si="75"/>
        <v/>
      </c>
      <c r="BY157" t="str">
        <f t="shared" si="76"/>
        <v/>
      </c>
      <c r="BZ157" t="str">
        <f t="shared" si="77"/>
        <v/>
      </c>
      <c r="CA157" t="str">
        <f t="shared" si="78"/>
        <v/>
      </c>
      <c r="CB157" t="str">
        <f t="shared" si="79"/>
        <v/>
      </c>
      <c r="CC157" t="str">
        <f t="shared" si="80"/>
        <v/>
      </c>
      <c r="CD157" t="str">
        <f t="shared" si="81"/>
        <v/>
      </c>
    </row>
    <row r="158" spans="1:82" ht="33.6" customHeight="1" x14ac:dyDescent="0.3">
      <c r="A158" s="4"/>
      <c r="B158" s="4"/>
      <c r="C158" s="4"/>
      <c r="D158" s="5"/>
      <c r="E158" s="6"/>
      <c r="F158" s="5"/>
      <c r="G158" s="6"/>
      <c r="H158" s="5"/>
      <c r="I158" s="21"/>
      <c r="J158" s="5"/>
      <c r="K158" s="6"/>
      <c r="L158" s="5"/>
      <c r="M158" s="6"/>
      <c r="N158" s="5"/>
      <c r="O158" s="6"/>
      <c r="P158" s="5"/>
      <c r="Q158" s="6"/>
      <c r="R158" s="5"/>
      <c r="S158" s="6"/>
      <c r="T158" s="5"/>
      <c r="U158" s="21"/>
      <c r="V158" s="5"/>
      <c r="W158" s="6"/>
      <c r="X158" s="5"/>
      <c r="Y158" s="6"/>
      <c r="Z158" s="5"/>
      <c r="AA158" s="6"/>
      <c r="AB158" s="5"/>
      <c r="AC158" s="6"/>
      <c r="AD158" s="5"/>
      <c r="AE158" s="6"/>
      <c r="AF158" s="5"/>
      <c r="AG158" s="21"/>
      <c r="AH158" s="5"/>
      <c r="AI158" s="6"/>
      <c r="AJ158" s="5"/>
      <c r="AK158" s="6"/>
      <c r="AL158" s="5"/>
      <c r="AM158" s="21"/>
      <c r="AN158" s="5"/>
      <c r="AO158" s="6"/>
      <c r="AP158" s="5"/>
      <c r="AQ158" s="6"/>
      <c r="AR158" s="5"/>
      <c r="AS158" s="21"/>
      <c r="AT158" s="5"/>
      <c r="AU158" s="6"/>
      <c r="AV158" s="5"/>
      <c r="AW158" s="6"/>
      <c r="AX158" s="5"/>
      <c r="AY158" s="21"/>
      <c r="AZ158" s="6"/>
      <c r="BA158" s="6"/>
      <c r="BB158" s="6"/>
      <c r="BC158" s="7" t="str">
        <f t="shared" si="56"/>
        <v/>
      </c>
      <c r="BD158" s="7" t="str">
        <f t="shared" si="57"/>
        <v/>
      </c>
      <c r="BE158" s="4"/>
      <c r="BF158" s="16"/>
      <c r="BG158" s="16" t="str">
        <f t="shared" si="58"/>
        <v/>
      </c>
      <c r="BH158" s="16" t="str">
        <f t="shared" si="59"/>
        <v/>
      </c>
      <c r="BI158" s="16" t="str">
        <f t="shared" si="60"/>
        <v/>
      </c>
      <c r="BJ158" s="16" t="str">
        <f t="shared" si="61"/>
        <v/>
      </c>
      <c r="BK158" t="str">
        <f t="shared" si="62"/>
        <v/>
      </c>
      <c r="BL158" t="str">
        <f t="shared" si="63"/>
        <v/>
      </c>
      <c r="BM158" t="str">
        <f t="shared" si="64"/>
        <v/>
      </c>
      <c r="BN158" t="str">
        <f t="shared" si="65"/>
        <v/>
      </c>
      <c r="BO158" t="str">
        <f t="shared" si="66"/>
        <v/>
      </c>
      <c r="BP158" t="str">
        <f t="shared" si="67"/>
        <v/>
      </c>
      <c r="BQ158" t="str">
        <f t="shared" si="68"/>
        <v/>
      </c>
      <c r="BR158" t="str">
        <f t="shared" si="69"/>
        <v/>
      </c>
      <c r="BS158" t="str">
        <f t="shared" si="70"/>
        <v/>
      </c>
      <c r="BT158" t="str">
        <f t="shared" si="71"/>
        <v/>
      </c>
      <c r="BU158" t="str">
        <f t="shared" si="72"/>
        <v/>
      </c>
      <c r="BV158" t="str">
        <f t="shared" si="73"/>
        <v/>
      </c>
      <c r="BW158" t="str">
        <f t="shared" si="74"/>
        <v/>
      </c>
      <c r="BX158" t="str">
        <f t="shared" si="75"/>
        <v/>
      </c>
      <c r="BY158" t="str">
        <f t="shared" si="76"/>
        <v/>
      </c>
      <c r="BZ158" t="str">
        <f t="shared" si="77"/>
        <v/>
      </c>
      <c r="CA158" t="str">
        <f t="shared" si="78"/>
        <v/>
      </c>
      <c r="CB158" t="str">
        <f t="shared" si="79"/>
        <v/>
      </c>
      <c r="CC158" t="str">
        <f t="shared" si="80"/>
        <v/>
      </c>
      <c r="CD158" t="str">
        <f t="shared" si="81"/>
        <v/>
      </c>
    </row>
    <row r="159" spans="1:82" ht="33.6" customHeight="1" x14ac:dyDescent="0.3">
      <c r="A159" s="4"/>
      <c r="B159" s="4"/>
      <c r="C159" s="4"/>
      <c r="D159" s="5"/>
      <c r="E159" s="6"/>
      <c r="F159" s="5"/>
      <c r="G159" s="6"/>
      <c r="H159" s="5"/>
      <c r="I159" s="21"/>
      <c r="J159" s="5"/>
      <c r="K159" s="6"/>
      <c r="L159" s="5"/>
      <c r="M159" s="6"/>
      <c r="N159" s="5"/>
      <c r="O159" s="6"/>
      <c r="P159" s="5"/>
      <c r="Q159" s="6"/>
      <c r="R159" s="5"/>
      <c r="S159" s="6"/>
      <c r="T159" s="5"/>
      <c r="U159" s="21"/>
      <c r="V159" s="5"/>
      <c r="W159" s="6"/>
      <c r="X159" s="5"/>
      <c r="Y159" s="6"/>
      <c r="Z159" s="5"/>
      <c r="AA159" s="6"/>
      <c r="AB159" s="5"/>
      <c r="AC159" s="6"/>
      <c r="AD159" s="5"/>
      <c r="AE159" s="6"/>
      <c r="AF159" s="5"/>
      <c r="AG159" s="21"/>
      <c r="AH159" s="5"/>
      <c r="AI159" s="6"/>
      <c r="AJ159" s="5"/>
      <c r="AK159" s="6"/>
      <c r="AL159" s="5"/>
      <c r="AM159" s="21"/>
      <c r="AN159" s="5"/>
      <c r="AO159" s="6"/>
      <c r="AP159" s="5"/>
      <c r="AQ159" s="6"/>
      <c r="AR159" s="5"/>
      <c r="AS159" s="21"/>
      <c r="AT159" s="5"/>
      <c r="AU159" s="6"/>
      <c r="AV159" s="5"/>
      <c r="AW159" s="6"/>
      <c r="AX159" s="5"/>
      <c r="AY159" s="21"/>
      <c r="AZ159" s="6"/>
      <c r="BA159" s="6"/>
      <c r="BB159" s="6"/>
      <c r="BC159" s="7" t="str">
        <f t="shared" si="56"/>
        <v/>
      </c>
      <c r="BD159" s="7" t="str">
        <f t="shared" si="57"/>
        <v/>
      </c>
      <c r="BE159" s="4"/>
      <c r="BF159" s="16"/>
      <c r="BG159" s="16" t="str">
        <f t="shared" si="58"/>
        <v/>
      </c>
      <c r="BH159" s="16" t="str">
        <f t="shared" si="59"/>
        <v/>
      </c>
      <c r="BI159" s="16" t="str">
        <f t="shared" si="60"/>
        <v/>
      </c>
      <c r="BJ159" s="16" t="str">
        <f t="shared" si="61"/>
        <v/>
      </c>
      <c r="BK159" t="str">
        <f t="shared" si="62"/>
        <v/>
      </c>
      <c r="BL159" t="str">
        <f t="shared" si="63"/>
        <v/>
      </c>
      <c r="BM159" t="str">
        <f t="shared" si="64"/>
        <v/>
      </c>
      <c r="BN159" t="str">
        <f t="shared" si="65"/>
        <v/>
      </c>
      <c r="BO159" t="str">
        <f t="shared" si="66"/>
        <v/>
      </c>
      <c r="BP159" t="str">
        <f t="shared" si="67"/>
        <v/>
      </c>
      <c r="BQ159" t="str">
        <f t="shared" si="68"/>
        <v/>
      </c>
      <c r="BR159" t="str">
        <f t="shared" si="69"/>
        <v/>
      </c>
      <c r="BS159" t="str">
        <f t="shared" si="70"/>
        <v/>
      </c>
      <c r="BT159" t="str">
        <f t="shared" si="71"/>
        <v/>
      </c>
      <c r="BU159" t="str">
        <f t="shared" si="72"/>
        <v/>
      </c>
      <c r="BV159" t="str">
        <f t="shared" si="73"/>
        <v/>
      </c>
      <c r="BW159" t="str">
        <f t="shared" si="74"/>
        <v/>
      </c>
      <c r="BX159" t="str">
        <f t="shared" si="75"/>
        <v/>
      </c>
      <c r="BY159" t="str">
        <f t="shared" si="76"/>
        <v/>
      </c>
      <c r="BZ159" t="str">
        <f t="shared" si="77"/>
        <v/>
      </c>
      <c r="CA159" t="str">
        <f t="shared" si="78"/>
        <v/>
      </c>
      <c r="CB159" t="str">
        <f t="shared" si="79"/>
        <v/>
      </c>
      <c r="CC159" t="str">
        <f t="shared" si="80"/>
        <v/>
      </c>
      <c r="CD159" t="str">
        <f t="shared" si="81"/>
        <v/>
      </c>
    </row>
    <row r="160" spans="1:82" ht="33.6" customHeight="1" x14ac:dyDescent="0.3">
      <c r="A160" s="4"/>
      <c r="B160" s="4"/>
      <c r="C160" s="4"/>
      <c r="D160" s="5"/>
      <c r="E160" s="6"/>
      <c r="F160" s="5"/>
      <c r="G160" s="6"/>
      <c r="H160" s="5"/>
      <c r="I160" s="21"/>
      <c r="J160" s="5"/>
      <c r="K160" s="6"/>
      <c r="L160" s="5"/>
      <c r="M160" s="6"/>
      <c r="N160" s="5"/>
      <c r="O160" s="6"/>
      <c r="P160" s="5"/>
      <c r="Q160" s="6"/>
      <c r="R160" s="5"/>
      <c r="S160" s="6"/>
      <c r="T160" s="5"/>
      <c r="U160" s="21"/>
      <c r="V160" s="5"/>
      <c r="W160" s="6"/>
      <c r="X160" s="5"/>
      <c r="Y160" s="6"/>
      <c r="Z160" s="5"/>
      <c r="AA160" s="6"/>
      <c r="AB160" s="5"/>
      <c r="AC160" s="6"/>
      <c r="AD160" s="5"/>
      <c r="AE160" s="6"/>
      <c r="AF160" s="5"/>
      <c r="AG160" s="21"/>
      <c r="AH160" s="5"/>
      <c r="AI160" s="6"/>
      <c r="AJ160" s="5"/>
      <c r="AK160" s="6"/>
      <c r="AL160" s="5"/>
      <c r="AM160" s="21"/>
      <c r="AN160" s="5"/>
      <c r="AO160" s="6"/>
      <c r="AP160" s="5"/>
      <c r="AQ160" s="6"/>
      <c r="AR160" s="5"/>
      <c r="AS160" s="21"/>
      <c r="AT160" s="5"/>
      <c r="AU160" s="6"/>
      <c r="AV160" s="5"/>
      <c r="AW160" s="6"/>
      <c r="AX160" s="5"/>
      <c r="AY160" s="21"/>
      <c r="AZ160" s="6"/>
      <c r="BA160" s="6"/>
      <c r="BB160" s="6"/>
      <c r="BC160" s="7" t="str">
        <f t="shared" si="56"/>
        <v/>
      </c>
      <c r="BD160" s="7" t="str">
        <f t="shared" si="57"/>
        <v/>
      </c>
      <c r="BE160" s="4"/>
      <c r="BF160" s="16"/>
      <c r="BG160" s="16" t="str">
        <f t="shared" si="58"/>
        <v/>
      </c>
      <c r="BH160" s="16" t="str">
        <f t="shared" si="59"/>
        <v/>
      </c>
      <c r="BI160" s="16" t="str">
        <f t="shared" si="60"/>
        <v/>
      </c>
      <c r="BJ160" s="16" t="str">
        <f t="shared" si="61"/>
        <v/>
      </c>
      <c r="BK160" t="str">
        <f t="shared" si="62"/>
        <v/>
      </c>
      <c r="BL160" t="str">
        <f t="shared" si="63"/>
        <v/>
      </c>
      <c r="BM160" t="str">
        <f t="shared" si="64"/>
        <v/>
      </c>
      <c r="BN160" t="str">
        <f t="shared" si="65"/>
        <v/>
      </c>
      <c r="BO160" t="str">
        <f t="shared" si="66"/>
        <v/>
      </c>
      <c r="BP160" t="str">
        <f t="shared" si="67"/>
        <v/>
      </c>
      <c r="BQ160" t="str">
        <f t="shared" si="68"/>
        <v/>
      </c>
      <c r="BR160" t="str">
        <f t="shared" si="69"/>
        <v/>
      </c>
      <c r="BS160" t="str">
        <f t="shared" si="70"/>
        <v/>
      </c>
      <c r="BT160" t="str">
        <f t="shared" si="71"/>
        <v/>
      </c>
      <c r="BU160" t="str">
        <f t="shared" si="72"/>
        <v/>
      </c>
      <c r="BV160" t="str">
        <f t="shared" si="73"/>
        <v/>
      </c>
      <c r="BW160" t="str">
        <f t="shared" si="74"/>
        <v/>
      </c>
      <c r="BX160" t="str">
        <f t="shared" si="75"/>
        <v/>
      </c>
      <c r="BY160" t="str">
        <f t="shared" si="76"/>
        <v/>
      </c>
      <c r="BZ160" t="str">
        <f t="shared" si="77"/>
        <v/>
      </c>
      <c r="CA160" t="str">
        <f t="shared" si="78"/>
        <v/>
      </c>
      <c r="CB160" t="str">
        <f t="shared" si="79"/>
        <v/>
      </c>
      <c r="CC160" t="str">
        <f t="shared" si="80"/>
        <v/>
      </c>
      <c r="CD160" t="str">
        <f t="shared" si="81"/>
        <v/>
      </c>
    </row>
    <row r="161" spans="1:82" ht="33.6" customHeight="1" x14ac:dyDescent="0.3">
      <c r="A161" s="4"/>
      <c r="B161" s="4"/>
      <c r="C161" s="4"/>
      <c r="D161" s="5"/>
      <c r="E161" s="6"/>
      <c r="F161" s="5"/>
      <c r="G161" s="6"/>
      <c r="H161" s="5"/>
      <c r="I161" s="21"/>
      <c r="J161" s="5"/>
      <c r="K161" s="6"/>
      <c r="L161" s="5"/>
      <c r="M161" s="6"/>
      <c r="N161" s="5"/>
      <c r="O161" s="6"/>
      <c r="P161" s="5"/>
      <c r="Q161" s="6"/>
      <c r="R161" s="5"/>
      <c r="S161" s="6"/>
      <c r="T161" s="5"/>
      <c r="U161" s="21"/>
      <c r="V161" s="5"/>
      <c r="W161" s="6"/>
      <c r="X161" s="5"/>
      <c r="Y161" s="6"/>
      <c r="Z161" s="5"/>
      <c r="AA161" s="6"/>
      <c r="AB161" s="5"/>
      <c r="AC161" s="6"/>
      <c r="AD161" s="5"/>
      <c r="AE161" s="6"/>
      <c r="AF161" s="5"/>
      <c r="AG161" s="21"/>
      <c r="AH161" s="5"/>
      <c r="AI161" s="6"/>
      <c r="AJ161" s="5"/>
      <c r="AK161" s="6"/>
      <c r="AL161" s="5"/>
      <c r="AM161" s="21"/>
      <c r="AN161" s="5"/>
      <c r="AO161" s="6"/>
      <c r="AP161" s="5"/>
      <c r="AQ161" s="6"/>
      <c r="AR161" s="5"/>
      <c r="AS161" s="21"/>
      <c r="AT161" s="5"/>
      <c r="AU161" s="6"/>
      <c r="AV161" s="5"/>
      <c r="AW161" s="6"/>
      <c r="AX161" s="5"/>
      <c r="AY161" s="21"/>
      <c r="AZ161" s="6"/>
      <c r="BA161" s="6"/>
      <c r="BB161" s="6"/>
      <c r="BC161" s="7" t="str">
        <f t="shared" si="56"/>
        <v/>
      </c>
      <c r="BD161" s="7" t="str">
        <f t="shared" si="57"/>
        <v/>
      </c>
      <c r="BE161" s="4"/>
      <c r="BF161" s="16"/>
      <c r="BG161" s="16" t="str">
        <f t="shared" si="58"/>
        <v/>
      </c>
      <c r="BH161" s="16" t="str">
        <f t="shared" si="59"/>
        <v/>
      </c>
      <c r="BI161" s="16" t="str">
        <f t="shared" si="60"/>
        <v/>
      </c>
      <c r="BJ161" s="16" t="str">
        <f t="shared" si="61"/>
        <v/>
      </c>
      <c r="BK161" t="str">
        <f t="shared" si="62"/>
        <v/>
      </c>
      <c r="BL161" t="str">
        <f t="shared" si="63"/>
        <v/>
      </c>
      <c r="BM161" t="str">
        <f t="shared" si="64"/>
        <v/>
      </c>
      <c r="BN161" t="str">
        <f t="shared" si="65"/>
        <v/>
      </c>
      <c r="BO161" t="str">
        <f t="shared" si="66"/>
        <v/>
      </c>
      <c r="BP161" t="str">
        <f t="shared" si="67"/>
        <v/>
      </c>
      <c r="BQ161" t="str">
        <f t="shared" si="68"/>
        <v/>
      </c>
      <c r="BR161" t="str">
        <f t="shared" si="69"/>
        <v/>
      </c>
      <c r="BS161" t="str">
        <f t="shared" si="70"/>
        <v/>
      </c>
      <c r="BT161" t="str">
        <f t="shared" si="71"/>
        <v/>
      </c>
      <c r="BU161" t="str">
        <f t="shared" si="72"/>
        <v/>
      </c>
      <c r="BV161" t="str">
        <f t="shared" si="73"/>
        <v/>
      </c>
      <c r="BW161" t="str">
        <f t="shared" si="74"/>
        <v/>
      </c>
      <c r="BX161" t="str">
        <f t="shared" si="75"/>
        <v/>
      </c>
      <c r="BY161" t="str">
        <f t="shared" si="76"/>
        <v/>
      </c>
      <c r="BZ161" t="str">
        <f t="shared" si="77"/>
        <v/>
      </c>
      <c r="CA161" t="str">
        <f t="shared" si="78"/>
        <v/>
      </c>
      <c r="CB161" t="str">
        <f t="shared" si="79"/>
        <v/>
      </c>
      <c r="CC161" t="str">
        <f t="shared" si="80"/>
        <v/>
      </c>
      <c r="CD161" t="str">
        <f t="shared" si="81"/>
        <v/>
      </c>
    </row>
    <row r="162" spans="1:82" ht="33.6" customHeight="1" x14ac:dyDescent="0.3">
      <c r="A162" s="4"/>
      <c r="B162" s="4"/>
      <c r="C162" s="4"/>
      <c r="D162" s="5"/>
      <c r="E162" s="6"/>
      <c r="F162" s="5"/>
      <c r="G162" s="6"/>
      <c r="H162" s="5"/>
      <c r="I162" s="21"/>
      <c r="J162" s="5"/>
      <c r="K162" s="6"/>
      <c r="L162" s="5"/>
      <c r="M162" s="6"/>
      <c r="N162" s="5"/>
      <c r="O162" s="6"/>
      <c r="P162" s="5"/>
      <c r="Q162" s="6"/>
      <c r="R162" s="5"/>
      <c r="S162" s="6"/>
      <c r="T162" s="5"/>
      <c r="U162" s="21"/>
      <c r="V162" s="5"/>
      <c r="W162" s="6"/>
      <c r="X162" s="5"/>
      <c r="Y162" s="6"/>
      <c r="Z162" s="5"/>
      <c r="AA162" s="6"/>
      <c r="AB162" s="5"/>
      <c r="AC162" s="6"/>
      <c r="AD162" s="5"/>
      <c r="AE162" s="6"/>
      <c r="AF162" s="5"/>
      <c r="AG162" s="21"/>
      <c r="AH162" s="5"/>
      <c r="AI162" s="6"/>
      <c r="AJ162" s="5"/>
      <c r="AK162" s="6"/>
      <c r="AL162" s="5"/>
      <c r="AM162" s="21"/>
      <c r="AN162" s="5"/>
      <c r="AO162" s="6"/>
      <c r="AP162" s="5"/>
      <c r="AQ162" s="6"/>
      <c r="AR162" s="5"/>
      <c r="AS162" s="21"/>
      <c r="AT162" s="5"/>
      <c r="AU162" s="6"/>
      <c r="AV162" s="5"/>
      <c r="AW162" s="6"/>
      <c r="AX162" s="5"/>
      <c r="AY162" s="21"/>
      <c r="AZ162" s="6"/>
      <c r="BA162" s="6"/>
      <c r="BB162" s="6"/>
      <c r="BC162" s="7" t="str">
        <f t="shared" si="56"/>
        <v/>
      </c>
      <c r="BD162" s="7" t="str">
        <f t="shared" si="57"/>
        <v/>
      </c>
      <c r="BE162" s="4"/>
      <c r="BF162" s="16"/>
      <c r="BG162" s="16" t="str">
        <f t="shared" si="58"/>
        <v/>
      </c>
      <c r="BH162" s="16" t="str">
        <f t="shared" si="59"/>
        <v/>
      </c>
      <c r="BI162" s="16" t="str">
        <f t="shared" si="60"/>
        <v/>
      </c>
      <c r="BJ162" s="16" t="str">
        <f t="shared" si="61"/>
        <v/>
      </c>
      <c r="BK162" t="str">
        <f t="shared" si="62"/>
        <v/>
      </c>
      <c r="BL162" t="str">
        <f t="shared" si="63"/>
        <v/>
      </c>
      <c r="BM162" t="str">
        <f t="shared" si="64"/>
        <v/>
      </c>
      <c r="BN162" t="str">
        <f t="shared" si="65"/>
        <v/>
      </c>
      <c r="BO162" t="str">
        <f t="shared" si="66"/>
        <v/>
      </c>
      <c r="BP162" t="str">
        <f t="shared" si="67"/>
        <v/>
      </c>
      <c r="BQ162" t="str">
        <f t="shared" si="68"/>
        <v/>
      </c>
      <c r="BR162" t="str">
        <f t="shared" si="69"/>
        <v/>
      </c>
      <c r="BS162" t="str">
        <f t="shared" si="70"/>
        <v/>
      </c>
      <c r="BT162" t="str">
        <f t="shared" si="71"/>
        <v/>
      </c>
      <c r="BU162" t="str">
        <f t="shared" si="72"/>
        <v/>
      </c>
      <c r="BV162" t="str">
        <f t="shared" si="73"/>
        <v/>
      </c>
      <c r="BW162" t="str">
        <f t="shared" si="74"/>
        <v/>
      </c>
      <c r="BX162" t="str">
        <f t="shared" si="75"/>
        <v/>
      </c>
      <c r="BY162" t="str">
        <f t="shared" si="76"/>
        <v/>
      </c>
      <c r="BZ162" t="str">
        <f t="shared" si="77"/>
        <v/>
      </c>
      <c r="CA162" t="str">
        <f t="shared" si="78"/>
        <v/>
      </c>
      <c r="CB162" t="str">
        <f t="shared" si="79"/>
        <v/>
      </c>
      <c r="CC162" t="str">
        <f t="shared" si="80"/>
        <v/>
      </c>
      <c r="CD162" t="str">
        <f t="shared" si="81"/>
        <v/>
      </c>
    </row>
    <row r="163" spans="1:82" ht="33.6" customHeight="1" x14ac:dyDescent="0.3">
      <c r="A163" s="4"/>
      <c r="B163" s="4"/>
      <c r="C163" s="4"/>
      <c r="D163" s="5"/>
      <c r="E163" s="6"/>
      <c r="F163" s="5"/>
      <c r="G163" s="6"/>
      <c r="H163" s="5"/>
      <c r="I163" s="21"/>
      <c r="J163" s="5"/>
      <c r="K163" s="6"/>
      <c r="L163" s="5"/>
      <c r="M163" s="6"/>
      <c r="N163" s="5"/>
      <c r="O163" s="6"/>
      <c r="P163" s="5"/>
      <c r="Q163" s="6"/>
      <c r="R163" s="5"/>
      <c r="S163" s="6"/>
      <c r="T163" s="5"/>
      <c r="U163" s="21"/>
      <c r="V163" s="5"/>
      <c r="W163" s="6"/>
      <c r="X163" s="5"/>
      <c r="Y163" s="6"/>
      <c r="Z163" s="5"/>
      <c r="AA163" s="6"/>
      <c r="AB163" s="5"/>
      <c r="AC163" s="6"/>
      <c r="AD163" s="5"/>
      <c r="AE163" s="6"/>
      <c r="AF163" s="5"/>
      <c r="AG163" s="21"/>
      <c r="AH163" s="5"/>
      <c r="AI163" s="6"/>
      <c r="AJ163" s="5"/>
      <c r="AK163" s="6"/>
      <c r="AL163" s="5"/>
      <c r="AM163" s="21"/>
      <c r="AN163" s="5"/>
      <c r="AO163" s="6"/>
      <c r="AP163" s="5"/>
      <c r="AQ163" s="6"/>
      <c r="AR163" s="5"/>
      <c r="AS163" s="21"/>
      <c r="AT163" s="5"/>
      <c r="AU163" s="6"/>
      <c r="AV163" s="5"/>
      <c r="AW163" s="6"/>
      <c r="AX163" s="5"/>
      <c r="AY163" s="21"/>
      <c r="AZ163" s="6"/>
      <c r="BA163" s="6"/>
      <c r="BB163" s="6"/>
      <c r="BC163" s="7" t="str">
        <f t="shared" si="56"/>
        <v/>
      </c>
      <c r="BD163" s="7" t="str">
        <f t="shared" si="57"/>
        <v/>
      </c>
      <c r="BE163" s="4"/>
      <c r="BF163" s="16"/>
      <c r="BG163" s="16" t="str">
        <f t="shared" si="58"/>
        <v/>
      </c>
      <c r="BH163" s="16" t="str">
        <f t="shared" si="59"/>
        <v/>
      </c>
      <c r="BI163" s="16" t="str">
        <f t="shared" si="60"/>
        <v/>
      </c>
      <c r="BJ163" s="16" t="str">
        <f t="shared" si="61"/>
        <v/>
      </c>
      <c r="BK163" t="str">
        <f t="shared" si="62"/>
        <v/>
      </c>
      <c r="BL163" t="str">
        <f t="shared" si="63"/>
        <v/>
      </c>
      <c r="BM163" t="str">
        <f t="shared" si="64"/>
        <v/>
      </c>
      <c r="BN163" t="str">
        <f t="shared" si="65"/>
        <v/>
      </c>
      <c r="BO163" t="str">
        <f t="shared" si="66"/>
        <v/>
      </c>
      <c r="BP163" t="str">
        <f t="shared" si="67"/>
        <v/>
      </c>
      <c r="BQ163" t="str">
        <f t="shared" si="68"/>
        <v/>
      </c>
      <c r="BR163" t="str">
        <f t="shared" si="69"/>
        <v/>
      </c>
      <c r="BS163" t="str">
        <f t="shared" si="70"/>
        <v/>
      </c>
      <c r="BT163" t="str">
        <f t="shared" si="71"/>
        <v/>
      </c>
      <c r="BU163" t="str">
        <f t="shared" si="72"/>
        <v/>
      </c>
      <c r="BV163" t="str">
        <f t="shared" si="73"/>
        <v/>
      </c>
      <c r="BW163" t="str">
        <f t="shared" si="74"/>
        <v/>
      </c>
      <c r="BX163" t="str">
        <f t="shared" si="75"/>
        <v/>
      </c>
      <c r="BY163" t="str">
        <f t="shared" si="76"/>
        <v/>
      </c>
      <c r="BZ163" t="str">
        <f t="shared" si="77"/>
        <v/>
      </c>
      <c r="CA163" t="str">
        <f t="shared" si="78"/>
        <v/>
      </c>
      <c r="CB163" t="str">
        <f t="shared" si="79"/>
        <v/>
      </c>
      <c r="CC163" t="str">
        <f t="shared" si="80"/>
        <v/>
      </c>
      <c r="CD163" t="str">
        <f t="shared" si="81"/>
        <v/>
      </c>
    </row>
    <row r="164" spans="1:82" ht="33.6" customHeight="1" x14ac:dyDescent="0.3">
      <c r="A164" s="4"/>
      <c r="B164" s="4"/>
      <c r="C164" s="4"/>
      <c r="D164" s="5"/>
      <c r="E164" s="6"/>
      <c r="F164" s="5"/>
      <c r="G164" s="6"/>
      <c r="H164" s="5"/>
      <c r="I164" s="21"/>
      <c r="J164" s="5"/>
      <c r="K164" s="6"/>
      <c r="L164" s="5"/>
      <c r="M164" s="6"/>
      <c r="N164" s="5"/>
      <c r="O164" s="6"/>
      <c r="P164" s="5"/>
      <c r="Q164" s="6"/>
      <c r="R164" s="5"/>
      <c r="S164" s="6"/>
      <c r="T164" s="5"/>
      <c r="U164" s="21"/>
      <c r="V164" s="5"/>
      <c r="W164" s="6"/>
      <c r="X164" s="5"/>
      <c r="Y164" s="6"/>
      <c r="Z164" s="5"/>
      <c r="AA164" s="6"/>
      <c r="AB164" s="5"/>
      <c r="AC164" s="6"/>
      <c r="AD164" s="5"/>
      <c r="AE164" s="6"/>
      <c r="AF164" s="5"/>
      <c r="AG164" s="21"/>
      <c r="AH164" s="5"/>
      <c r="AI164" s="6"/>
      <c r="AJ164" s="5"/>
      <c r="AK164" s="6"/>
      <c r="AL164" s="5"/>
      <c r="AM164" s="21"/>
      <c r="AN164" s="5"/>
      <c r="AO164" s="6"/>
      <c r="AP164" s="5"/>
      <c r="AQ164" s="6"/>
      <c r="AR164" s="5"/>
      <c r="AS164" s="21"/>
      <c r="AT164" s="5"/>
      <c r="AU164" s="6"/>
      <c r="AV164" s="5"/>
      <c r="AW164" s="6"/>
      <c r="AX164" s="5"/>
      <c r="AY164" s="21"/>
      <c r="AZ164" s="6"/>
      <c r="BA164" s="6"/>
      <c r="BB164" s="6"/>
      <c r="BC164" s="7" t="str">
        <f t="shared" ref="BC164:BC200" si="82">IFERROR((COUNTIF(D164:AX164,"A")*4+COUNTIF(D164:AX164,"B")*3+COUNTIF(D164:AX164,"C")*2+COUNTIF(D164:AX164,"D")*1)/(COUNTIF(D164:AX164,"A")+COUNTIF(D164:AX164,"B")+COUNTIF(D164:AX164,"C")+COUNTIF(D164:AX164,"D"))*25,"")</f>
        <v/>
      </c>
      <c r="BD164" s="7" t="str">
        <f t="shared" ref="BD164:BD195" si="83">IF(BC164="","",IF(BC164&gt;=85,"A",IF(BC164&gt;=70,"B",IF(BC164&gt;=50,"C","D"))))</f>
        <v/>
      </c>
      <c r="BE164" s="4"/>
      <c r="BF164" s="16"/>
      <c r="BG164" s="16" t="str">
        <f t="shared" si="58"/>
        <v/>
      </c>
      <c r="BH164" s="16" t="str">
        <f t="shared" si="59"/>
        <v/>
      </c>
      <c r="BI164" s="16" t="str">
        <f t="shared" si="60"/>
        <v/>
      </c>
      <c r="BJ164" s="16" t="str">
        <f t="shared" si="61"/>
        <v/>
      </c>
      <c r="BK164" t="str">
        <f t="shared" si="62"/>
        <v/>
      </c>
      <c r="BL164" t="str">
        <f t="shared" si="63"/>
        <v/>
      </c>
      <c r="BM164" t="str">
        <f t="shared" si="64"/>
        <v/>
      </c>
      <c r="BN164" t="str">
        <f t="shared" si="65"/>
        <v/>
      </c>
      <c r="BO164" t="str">
        <f t="shared" si="66"/>
        <v/>
      </c>
      <c r="BP164" t="str">
        <f t="shared" si="67"/>
        <v/>
      </c>
      <c r="BQ164" t="str">
        <f t="shared" si="68"/>
        <v/>
      </c>
      <c r="BR164" t="str">
        <f t="shared" si="69"/>
        <v/>
      </c>
      <c r="BS164" t="str">
        <f t="shared" si="70"/>
        <v/>
      </c>
      <c r="BT164" t="str">
        <f t="shared" si="71"/>
        <v/>
      </c>
      <c r="BU164" t="str">
        <f t="shared" si="72"/>
        <v/>
      </c>
      <c r="BV164" t="str">
        <f t="shared" si="73"/>
        <v/>
      </c>
      <c r="BW164" t="str">
        <f t="shared" si="74"/>
        <v/>
      </c>
      <c r="BX164" t="str">
        <f t="shared" si="75"/>
        <v/>
      </c>
      <c r="BY164" t="str">
        <f t="shared" si="76"/>
        <v/>
      </c>
      <c r="BZ164" t="str">
        <f t="shared" si="77"/>
        <v/>
      </c>
      <c r="CA164" t="str">
        <f t="shared" si="78"/>
        <v/>
      </c>
      <c r="CB164" t="str">
        <f t="shared" si="79"/>
        <v/>
      </c>
      <c r="CC164" t="str">
        <f t="shared" si="80"/>
        <v/>
      </c>
      <c r="CD164" t="str">
        <f t="shared" si="81"/>
        <v/>
      </c>
    </row>
    <row r="165" spans="1:82" ht="33.6" customHeight="1" x14ac:dyDescent="0.3">
      <c r="A165" s="4"/>
      <c r="B165" s="4"/>
      <c r="C165" s="4"/>
      <c r="D165" s="5"/>
      <c r="E165" s="6"/>
      <c r="F165" s="5"/>
      <c r="G165" s="6"/>
      <c r="H165" s="5"/>
      <c r="I165" s="21"/>
      <c r="J165" s="5"/>
      <c r="K165" s="6"/>
      <c r="L165" s="5"/>
      <c r="M165" s="6"/>
      <c r="N165" s="5"/>
      <c r="O165" s="6"/>
      <c r="P165" s="5"/>
      <c r="Q165" s="6"/>
      <c r="R165" s="5"/>
      <c r="S165" s="6"/>
      <c r="T165" s="5"/>
      <c r="U165" s="21"/>
      <c r="V165" s="5"/>
      <c r="W165" s="6"/>
      <c r="X165" s="5"/>
      <c r="Y165" s="6"/>
      <c r="Z165" s="5"/>
      <c r="AA165" s="6"/>
      <c r="AB165" s="5"/>
      <c r="AC165" s="6"/>
      <c r="AD165" s="5"/>
      <c r="AE165" s="6"/>
      <c r="AF165" s="5"/>
      <c r="AG165" s="21"/>
      <c r="AH165" s="5"/>
      <c r="AI165" s="6"/>
      <c r="AJ165" s="5"/>
      <c r="AK165" s="6"/>
      <c r="AL165" s="5"/>
      <c r="AM165" s="21"/>
      <c r="AN165" s="5"/>
      <c r="AO165" s="6"/>
      <c r="AP165" s="5"/>
      <c r="AQ165" s="6"/>
      <c r="AR165" s="5"/>
      <c r="AS165" s="21"/>
      <c r="AT165" s="5"/>
      <c r="AU165" s="6"/>
      <c r="AV165" s="5"/>
      <c r="AW165" s="6"/>
      <c r="AX165" s="5"/>
      <c r="AY165" s="21"/>
      <c r="AZ165" s="6"/>
      <c r="BA165" s="6"/>
      <c r="BB165" s="6"/>
      <c r="BC165" s="7" t="str">
        <f t="shared" si="82"/>
        <v/>
      </c>
      <c r="BD165" s="7" t="str">
        <f t="shared" si="83"/>
        <v/>
      </c>
      <c r="BE165" s="4"/>
      <c r="BF165" s="16"/>
      <c r="BG165" s="16" t="str">
        <f t="shared" si="58"/>
        <v/>
      </c>
      <c r="BH165" s="16" t="str">
        <f t="shared" si="59"/>
        <v/>
      </c>
      <c r="BI165" s="16" t="str">
        <f t="shared" si="60"/>
        <v/>
      </c>
      <c r="BJ165" s="16" t="str">
        <f t="shared" si="61"/>
        <v/>
      </c>
      <c r="BK165" t="str">
        <f t="shared" si="62"/>
        <v/>
      </c>
      <c r="BL165" t="str">
        <f t="shared" si="63"/>
        <v/>
      </c>
      <c r="BM165" t="str">
        <f t="shared" si="64"/>
        <v/>
      </c>
      <c r="BN165" t="str">
        <f t="shared" si="65"/>
        <v/>
      </c>
      <c r="BO165" t="str">
        <f t="shared" si="66"/>
        <v/>
      </c>
      <c r="BP165" t="str">
        <f t="shared" si="67"/>
        <v/>
      </c>
      <c r="BQ165" t="str">
        <f t="shared" si="68"/>
        <v/>
      </c>
      <c r="BR165" t="str">
        <f t="shared" si="69"/>
        <v/>
      </c>
      <c r="BS165" t="str">
        <f t="shared" si="70"/>
        <v/>
      </c>
      <c r="BT165" t="str">
        <f t="shared" si="71"/>
        <v/>
      </c>
      <c r="BU165" t="str">
        <f t="shared" si="72"/>
        <v/>
      </c>
      <c r="BV165" t="str">
        <f t="shared" si="73"/>
        <v/>
      </c>
      <c r="BW165" t="str">
        <f t="shared" si="74"/>
        <v/>
      </c>
      <c r="BX165" t="str">
        <f t="shared" si="75"/>
        <v/>
      </c>
      <c r="BY165" t="str">
        <f t="shared" si="76"/>
        <v/>
      </c>
      <c r="BZ165" t="str">
        <f t="shared" si="77"/>
        <v/>
      </c>
      <c r="CA165" t="str">
        <f t="shared" si="78"/>
        <v/>
      </c>
      <c r="CB165" t="str">
        <f t="shared" si="79"/>
        <v/>
      </c>
      <c r="CC165" t="str">
        <f t="shared" si="80"/>
        <v/>
      </c>
      <c r="CD165" t="str">
        <f t="shared" si="81"/>
        <v/>
      </c>
    </row>
    <row r="166" spans="1:82" ht="33.6" customHeight="1" x14ac:dyDescent="0.3">
      <c r="A166" s="4"/>
      <c r="B166" s="4"/>
      <c r="C166" s="4"/>
      <c r="D166" s="5"/>
      <c r="E166" s="6"/>
      <c r="F166" s="5"/>
      <c r="G166" s="6"/>
      <c r="H166" s="5"/>
      <c r="I166" s="21"/>
      <c r="J166" s="5"/>
      <c r="K166" s="6"/>
      <c r="L166" s="5"/>
      <c r="M166" s="6"/>
      <c r="N166" s="5"/>
      <c r="O166" s="6"/>
      <c r="P166" s="5"/>
      <c r="Q166" s="6"/>
      <c r="R166" s="5"/>
      <c r="S166" s="6"/>
      <c r="T166" s="5"/>
      <c r="U166" s="21"/>
      <c r="V166" s="5"/>
      <c r="W166" s="6"/>
      <c r="X166" s="5"/>
      <c r="Y166" s="6"/>
      <c r="Z166" s="5"/>
      <c r="AA166" s="6"/>
      <c r="AB166" s="5"/>
      <c r="AC166" s="6"/>
      <c r="AD166" s="5"/>
      <c r="AE166" s="6"/>
      <c r="AF166" s="5"/>
      <c r="AG166" s="21"/>
      <c r="AH166" s="5"/>
      <c r="AI166" s="6"/>
      <c r="AJ166" s="5"/>
      <c r="AK166" s="6"/>
      <c r="AL166" s="5"/>
      <c r="AM166" s="21"/>
      <c r="AN166" s="5"/>
      <c r="AO166" s="6"/>
      <c r="AP166" s="5"/>
      <c r="AQ166" s="6"/>
      <c r="AR166" s="5"/>
      <c r="AS166" s="21"/>
      <c r="AT166" s="5"/>
      <c r="AU166" s="6"/>
      <c r="AV166" s="5"/>
      <c r="AW166" s="6"/>
      <c r="AX166" s="5"/>
      <c r="AY166" s="21"/>
      <c r="AZ166" s="6"/>
      <c r="BA166" s="6"/>
      <c r="BB166" s="6"/>
      <c r="BC166" s="7" t="str">
        <f t="shared" si="82"/>
        <v/>
      </c>
      <c r="BD166" s="7" t="str">
        <f t="shared" si="83"/>
        <v/>
      </c>
      <c r="BE166" s="4"/>
      <c r="BF166" s="16"/>
      <c r="BG166" s="16" t="str">
        <f t="shared" si="58"/>
        <v/>
      </c>
      <c r="BH166" s="16" t="str">
        <f t="shared" si="59"/>
        <v/>
      </c>
      <c r="BI166" s="16" t="str">
        <f t="shared" si="60"/>
        <v/>
      </c>
      <c r="BJ166" s="16" t="str">
        <f t="shared" si="61"/>
        <v/>
      </c>
      <c r="BK166" t="str">
        <f t="shared" si="62"/>
        <v/>
      </c>
      <c r="BL166" t="str">
        <f t="shared" si="63"/>
        <v/>
      </c>
      <c r="BM166" t="str">
        <f t="shared" si="64"/>
        <v/>
      </c>
      <c r="BN166" t="str">
        <f t="shared" si="65"/>
        <v/>
      </c>
      <c r="BO166" t="str">
        <f t="shared" si="66"/>
        <v/>
      </c>
      <c r="BP166" t="str">
        <f t="shared" si="67"/>
        <v/>
      </c>
      <c r="BQ166" t="str">
        <f t="shared" si="68"/>
        <v/>
      </c>
      <c r="BR166" t="str">
        <f t="shared" si="69"/>
        <v/>
      </c>
      <c r="BS166" t="str">
        <f t="shared" si="70"/>
        <v/>
      </c>
      <c r="BT166" t="str">
        <f t="shared" si="71"/>
        <v/>
      </c>
      <c r="BU166" t="str">
        <f t="shared" si="72"/>
        <v/>
      </c>
      <c r="BV166" t="str">
        <f t="shared" si="73"/>
        <v/>
      </c>
      <c r="BW166" t="str">
        <f t="shared" si="74"/>
        <v/>
      </c>
      <c r="BX166" t="str">
        <f t="shared" si="75"/>
        <v/>
      </c>
      <c r="BY166" t="str">
        <f t="shared" si="76"/>
        <v/>
      </c>
      <c r="BZ166" t="str">
        <f t="shared" si="77"/>
        <v/>
      </c>
      <c r="CA166" t="str">
        <f t="shared" si="78"/>
        <v/>
      </c>
      <c r="CB166" t="str">
        <f t="shared" si="79"/>
        <v/>
      </c>
      <c r="CC166" t="str">
        <f t="shared" si="80"/>
        <v/>
      </c>
      <c r="CD166" t="str">
        <f t="shared" si="81"/>
        <v/>
      </c>
    </row>
    <row r="167" spans="1:82" ht="33.6" customHeight="1" x14ac:dyDescent="0.3">
      <c r="A167" s="4"/>
      <c r="B167" s="4"/>
      <c r="C167" s="4"/>
      <c r="D167" s="5"/>
      <c r="E167" s="6"/>
      <c r="F167" s="5"/>
      <c r="G167" s="6"/>
      <c r="H167" s="5"/>
      <c r="I167" s="21"/>
      <c r="J167" s="5"/>
      <c r="K167" s="6"/>
      <c r="L167" s="5"/>
      <c r="M167" s="6"/>
      <c r="N167" s="5"/>
      <c r="O167" s="6"/>
      <c r="P167" s="5"/>
      <c r="Q167" s="6"/>
      <c r="R167" s="5"/>
      <c r="S167" s="6"/>
      <c r="T167" s="5"/>
      <c r="U167" s="21"/>
      <c r="V167" s="5"/>
      <c r="W167" s="6"/>
      <c r="X167" s="5"/>
      <c r="Y167" s="6"/>
      <c r="Z167" s="5"/>
      <c r="AA167" s="6"/>
      <c r="AB167" s="5"/>
      <c r="AC167" s="6"/>
      <c r="AD167" s="5"/>
      <c r="AE167" s="6"/>
      <c r="AF167" s="5"/>
      <c r="AG167" s="21"/>
      <c r="AH167" s="5"/>
      <c r="AI167" s="6"/>
      <c r="AJ167" s="5"/>
      <c r="AK167" s="6"/>
      <c r="AL167" s="5"/>
      <c r="AM167" s="21"/>
      <c r="AN167" s="5"/>
      <c r="AO167" s="6"/>
      <c r="AP167" s="5"/>
      <c r="AQ167" s="6"/>
      <c r="AR167" s="5"/>
      <c r="AS167" s="21"/>
      <c r="AT167" s="5"/>
      <c r="AU167" s="6"/>
      <c r="AV167" s="5"/>
      <c r="AW167" s="6"/>
      <c r="AX167" s="5"/>
      <c r="AY167" s="21"/>
      <c r="AZ167" s="6"/>
      <c r="BA167" s="6"/>
      <c r="BB167" s="6"/>
      <c r="BC167" s="7" t="str">
        <f t="shared" si="82"/>
        <v/>
      </c>
      <c r="BD167" s="7" t="str">
        <f t="shared" si="83"/>
        <v/>
      </c>
      <c r="BE167" s="4"/>
      <c r="BF167" s="16"/>
      <c r="BG167" s="16" t="str">
        <f t="shared" si="58"/>
        <v/>
      </c>
      <c r="BH167" s="16" t="str">
        <f t="shared" si="59"/>
        <v/>
      </c>
      <c r="BI167" s="16" t="str">
        <f t="shared" si="60"/>
        <v/>
      </c>
      <c r="BJ167" s="16" t="str">
        <f t="shared" si="61"/>
        <v/>
      </c>
      <c r="BK167" t="str">
        <f t="shared" si="62"/>
        <v/>
      </c>
      <c r="BL167" t="str">
        <f t="shared" si="63"/>
        <v/>
      </c>
      <c r="BM167" t="str">
        <f t="shared" si="64"/>
        <v/>
      </c>
      <c r="BN167" t="str">
        <f t="shared" si="65"/>
        <v/>
      </c>
      <c r="BO167" t="str">
        <f t="shared" si="66"/>
        <v/>
      </c>
      <c r="BP167" t="str">
        <f t="shared" si="67"/>
        <v/>
      </c>
      <c r="BQ167" t="str">
        <f t="shared" si="68"/>
        <v/>
      </c>
      <c r="BR167" t="str">
        <f t="shared" si="69"/>
        <v/>
      </c>
      <c r="BS167" t="str">
        <f t="shared" si="70"/>
        <v/>
      </c>
      <c r="BT167" t="str">
        <f t="shared" si="71"/>
        <v/>
      </c>
      <c r="BU167" t="str">
        <f t="shared" si="72"/>
        <v/>
      </c>
      <c r="BV167" t="str">
        <f t="shared" si="73"/>
        <v/>
      </c>
      <c r="BW167" t="str">
        <f t="shared" si="74"/>
        <v/>
      </c>
      <c r="BX167" t="str">
        <f t="shared" si="75"/>
        <v/>
      </c>
      <c r="BY167" t="str">
        <f t="shared" si="76"/>
        <v/>
      </c>
      <c r="BZ167" t="str">
        <f t="shared" si="77"/>
        <v/>
      </c>
      <c r="CA167" t="str">
        <f t="shared" si="78"/>
        <v/>
      </c>
      <c r="CB167" t="str">
        <f t="shared" si="79"/>
        <v/>
      </c>
      <c r="CC167" t="str">
        <f t="shared" si="80"/>
        <v/>
      </c>
      <c r="CD167" t="str">
        <f t="shared" si="81"/>
        <v/>
      </c>
    </row>
    <row r="168" spans="1:82" ht="33.6" customHeight="1" x14ac:dyDescent="0.3">
      <c r="A168" s="4"/>
      <c r="B168" s="4"/>
      <c r="C168" s="4"/>
      <c r="D168" s="5"/>
      <c r="E168" s="6"/>
      <c r="F168" s="5"/>
      <c r="G168" s="6"/>
      <c r="H168" s="5"/>
      <c r="I168" s="21"/>
      <c r="J168" s="5"/>
      <c r="K168" s="6"/>
      <c r="L168" s="5"/>
      <c r="M168" s="6"/>
      <c r="N168" s="5"/>
      <c r="O168" s="6"/>
      <c r="P168" s="5"/>
      <c r="Q168" s="6"/>
      <c r="R168" s="5"/>
      <c r="S168" s="6"/>
      <c r="T168" s="5"/>
      <c r="U168" s="21"/>
      <c r="V168" s="5"/>
      <c r="W168" s="6"/>
      <c r="X168" s="5"/>
      <c r="Y168" s="6"/>
      <c r="Z168" s="5"/>
      <c r="AA168" s="6"/>
      <c r="AB168" s="5"/>
      <c r="AC168" s="6"/>
      <c r="AD168" s="5"/>
      <c r="AE168" s="6"/>
      <c r="AF168" s="5"/>
      <c r="AG168" s="21"/>
      <c r="AH168" s="5"/>
      <c r="AI168" s="6"/>
      <c r="AJ168" s="5"/>
      <c r="AK168" s="6"/>
      <c r="AL168" s="5"/>
      <c r="AM168" s="21"/>
      <c r="AN168" s="5"/>
      <c r="AO168" s="6"/>
      <c r="AP168" s="5"/>
      <c r="AQ168" s="6"/>
      <c r="AR168" s="5"/>
      <c r="AS168" s="21"/>
      <c r="AT168" s="5"/>
      <c r="AU168" s="6"/>
      <c r="AV168" s="5"/>
      <c r="AW168" s="6"/>
      <c r="AX168" s="5"/>
      <c r="AY168" s="21"/>
      <c r="AZ168" s="6"/>
      <c r="BA168" s="6"/>
      <c r="BB168" s="6"/>
      <c r="BC168" s="7" t="str">
        <f t="shared" si="82"/>
        <v/>
      </c>
      <c r="BD168" s="7" t="str">
        <f t="shared" si="83"/>
        <v/>
      </c>
      <c r="BE168" s="4"/>
      <c r="BF168" s="16"/>
      <c r="BG168" s="16" t="str">
        <f t="shared" si="58"/>
        <v/>
      </c>
      <c r="BH168" s="16" t="str">
        <f t="shared" si="59"/>
        <v/>
      </c>
      <c r="BI168" s="16" t="str">
        <f t="shared" si="60"/>
        <v/>
      </c>
      <c r="BJ168" s="16" t="str">
        <f t="shared" si="61"/>
        <v/>
      </c>
      <c r="BK168" t="str">
        <f t="shared" si="62"/>
        <v/>
      </c>
      <c r="BL168" t="str">
        <f t="shared" si="63"/>
        <v/>
      </c>
      <c r="BM168" t="str">
        <f t="shared" si="64"/>
        <v/>
      </c>
      <c r="BN168" t="str">
        <f t="shared" si="65"/>
        <v/>
      </c>
      <c r="BO168" t="str">
        <f t="shared" si="66"/>
        <v/>
      </c>
      <c r="BP168" t="str">
        <f t="shared" si="67"/>
        <v/>
      </c>
      <c r="BQ168" t="str">
        <f t="shared" si="68"/>
        <v/>
      </c>
      <c r="BR168" t="str">
        <f t="shared" si="69"/>
        <v/>
      </c>
      <c r="BS168" t="str">
        <f t="shared" si="70"/>
        <v/>
      </c>
      <c r="BT168" t="str">
        <f t="shared" si="71"/>
        <v/>
      </c>
      <c r="BU168" t="str">
        <f t="shared" si="72"/>
        <v/>
      </c>
      <c r="BV168" t="str">
        <f t="shared" si="73"/>
        <v/>
      </c>
      <c r="BW168" t="str">
        <f t="shared" si="74"/>
        <v/>
      </c>
      <c r="BX168" t="str">
        <f t="shared" si="75"/>
        <v/>
      </c>
      <c r="BY168" t="str">
        <f t="shared" si="76"/>
        <v/>
      </c>
      <c r="BZ168" t="str">
        <f t="shared" si="77"/>
        <v/>
      </c>
      <c r="CA168" t="str">
        <f t="shared" si="78"/>
        <v/>
      </c>
      <c r="CB168" t="str">
        <f t="shared" si="79"/>
        <v/>
      </c>
      <c r="CC168" t="str">
        <f t="shared" si="80"/>
        <v/>
      </c>
      <c r="CD168" t="str">
        <f t="shared" si="81"/>
        <v/>
      </c>
    </row>
    <row r="169" spans="1:82" ht="33.6" customHeight="1" x14ac:dyDescent="0.3">
      <c r="A169" s="4"/>
      <c r="B169" s="4"/>
      <c r="C169" s="4"/>
      <c r="D169" s="5"/>
      <c r="E169" s="6"/>
      <c r="F169" s="5"/>
      <c r="G169" s="6"/>
      <c r="H169" s="5"/>
      <c r="I169" s="21"/>
      <c r="J169" s="5"/>
      <c r="K169" s="6"/>
      <c r="L169" s="5"/>
      <c r="M169" s="6"/>
      <c r="N169" s="5"/>
      <c r="O169" s="6"/>
      <c r="P169" s="5"/>
      <c r="Q169" s="6"/>
      <c r="R169" s="5"/>
      <c r="S169" s="6"/>
      <c r="T169" s="5"/>
      <c r="U169" s="21"/>
      <c r="V169" s="5"/>
      <c r="W169" s="6"/>
      <c r="X169" s="5"/>
      <c r="Y169" s="6"/>
      <c r="Z169" s="5"/>
      <c r="AA169" s="6"/>
      <c r="AB169" s="5"/>
      <c r="AC169" s="6"/>
      <c r="AD169" s="5"/>
      <c r="AE169" s="6"/>
      <c r="AF169" s="5"/>
      <c r="AG169" s="21"/>
      <c r="AH169" s="5"/>
      <c r="AI169" s="6"/>
      <c r="AJ169" s="5"/>
      <c r="AK169" s="6"/>
      <c r="AL169" s="5"/>
      <c r="AM169" s="21"/>
      <c r="AN169" s="5"/>
      <c r="AO169" s="6"/>
      <c r="AP169" s="5"/>
      <c r="AQ169" s="6"/>
      <c r="AR169" s="5"/>
      <c r="AS169" s="21"/>
      <c r="AT169" s="5"/>
      <c r="AU169" s="6"/>
      <c r="AV169" s="5"/>
      <c r="AW169" s="6"/>
      <c r="AX169" s="5"/>
      <c r="AY169" s="21"/>
      <c r="AZ169" s="6"/>
      <c r="BA169" s="6"/>
      <c r="BB169" s="6"/>
      <c r="BC169" s="7" t="str">
        <f t="shared" si="82"/>
        <v/>
      </c>
      <c r="BD169" s="7" t="str">
        <f t="shared" si="83"/>
        <v/>
      </c>
      <c r="BE169" s="4"/>
      <c r="BF169" s="16"/>
      <c r="BG169" s="16" t="str">
        <f t="shared" si="58"/>
        <v/>
      </c>
      <c r="BH169" s="16" t="str">
        <f t="shared" si="59"/>
        <v/>
      </c>
      <c r="BI169" s="16" t="str">
        <f t="shared" si="60"/>
        <v/>
      </c>
      <c r="BJ169" s="16" t="str">
        <f t="shared" si="61"/>
        <v/>
      </c>
      <c r="BK169" t="str">
        <f t="shared" si="62"/>
        <v/>
      </c>
      <c r="BL169" t="str">
        <f t="shared" si="63"/>
        <v/>
      </c>
      <c r="BM169" t="str">
        <f t="shared" si="64"/>
        <v/>
      </c>
      <c r="BN169" t="str">
        <f t="shared" si="65"/>
        <v/>
      </c>
      <c r="BO169" t="str">
        <f t="shared" si="66"/>
        <v/>
      </c>
      <c r="BP169" t="str">
        <f t="shared" si="67"/>
        <v/>
      </c>
      <c r="BQ169" t="str">
        <f t="shared" si="68"/>
        <v/>
      </c>
      <c r="BR169" t="str">
        <f t="shared" si="69"/>
        <v/>
      </c>
      <c r="BS169" t="str">
        <f t="shared" si="70"/>
        <v/>
      </c>
      <c r="BT169" t="str">
        <f t="shared" si="71"/>
        <v/>
      </c>
      <c r="BU169" t="str">
        <f t="shared" si="72"/>
        <v/>
      </c>
      <c r="BV169" t="str">
        <f t="shared" si="73"/>
        <v/>
      </c>
      <c r="BW169" t="str">
        <f t="shared" si="74"/>
        <v/>
      </c>
      <c r="BX169" t="str">
        <f t="shared" si="75"/>
        <v/>
      </c>
      <c r="BY169" t="str">
        <f t="shared" si="76"/>
        <v/>
      </c>
      <c r="BZ169" t="str">
        <f t="shared" si="77"/>
        <v/>
      </c>
      <c r="CA169" t="str">
        <f t="shared" si="78"/>
        <v/>
      </c>
      <c r="CB169" t="str">
        <f t="shared" si="79"/>
        <v/>
      </c>
      <c r="CC169" t="str">
        <f t="shared" si="80"/>
        <v/>
      </c>
      <c r="CD169" t="str">
        <f t="shared" si="81"/>
        <v/>
      </c>
    </row>
    <row r="170" spans="1:82" ht="33.6" customHeight="1" x14ac:dyDescent="0.3">
      <c r="A170" s="4"/>
      <c r="B170" s="4"/>
      <c r="C170" s="4"/>
      <c r="D170" s="5"/>
      <c r="E170" s="6"/>
      <c r="F170" s="5"/>
      <c r="G170" s="6"/>
      <c r="H170" s="5"/>
      <c r="I170" s="21"/>
      <c r="J170" s="5"/>
      <c r="K170" s="6"/>
      <c r="L170" s="5"/>
      <c r="M170" s="6"/>
      <c r="N170" s="5"/>
      <c r="O170" s="6"/>
      <c r="P170" s="5"/>
      <c r="Q170" s="6"/>
      <c r="R170" s="5"/>
      <c r="S170" s="6"/>
      <c r="T170" s="5"/>
      <c r="U170" s="21"/>
      <c r="V170" s="5"/>
      <c r="W170" s="6"/>
      <c r="X170" s="5"/>
      <c r="Y170" s="6"/>
      <c r="Z170" s="5"/>
      <c r="AA170" s="6"/>
      <c r="AB170" s="5"/>
      <c r="AC170" s="6"/>
      <c r="AD170" s="5"/>
      <c r="AE170" s="6"/>
      <c r="AF170" s="5"/>
      <c r="AG170" s="21"/>
      <c r="AH170" s="5"/>
      <c r="AI170" s="6"/>
      <c r="AJ170" s="5"/>
      <c r="AK170" s="6"/>
      <c r="AL170" s="5"/>
      <c r="AM170" s="21"/>
      <c r="AN170" s="5"/>
      <c r="AO170" s="6"/>
      <c r="AP170" s="5"/>
      <c r="AQ170" s="6"/>
      <c r="AR170" s="5"/>
      <c r="AS170" s="21"/>
      <c r="AT170" s="5"/>
      <c r="AU170" s="6"/>
      <c r="AV170" s="5"/>
      <c r="AW170" s="6"/>
      <c r="AX170" s="5"/>
      <c r="AY170" s="21"/>
      <c r="AZ170" s="6"/>
      <c r="BA170" s="6"/>
      <c r="BB170" s="6"/>
      <c r="BC170" s="7" t="str">
        <f t="shared" si="82"/>
        <v/>
      </c>
      <c r="BD170" s="7" t="str">
        <f t="shared" si="83"/>
        <v/>
      </c>
      <c r="BE170" s="4"/>
      <c r="BF170" s="16"/>
      <c r="BG170" s="16" t="str">
        <f t="shared" si="58"/>
        <v/>
      </c>
      <c r="BH170" s="16" t="str">
        <f t="shared" si="59"/>
        <v/>
      </c>
      <c r="BI170" s="16" t="str">
        <f t="shared" si="60"/>
        <v/>
      </c>
      <c r="BJ170" s="16" t="str">
        <f t="shared" si="61"/>
        <v/>
      </c>
      <c r="BK170" t="str">
        <f t="shared" si="62"/>
        <v/>
      </c>
      <c r="BL170" t="str">
        <f t="shared" si="63"/>
        <v/>
      </c>
      <c r="BM170" t="str">
        <f t="shared" si="64"/>
        <v/>
      </c>
      <c r="BN170" t="str">
        <f t="shared" si="65"/>
        <v/>
      </c>
      <c r="BO170" t="str">
        <f t="shared" si="66"/>
        <v/>
      </c>
      <c r="BP170" t="str">
        <f t="shared" si="67"/>
        <v/>
      </c>
      <c r="BQ170" t="str">
        <f t="shared" si="68"/>
        <v/>
      </c>
      <c r="BR170" t="str">
        <f t="shared" si="69"/>
        <v/>
      </c>
      <c r="BS170" t="str">
        <f t="shared" si="70"/>
        <v/>
      </c>
      <c r="BT170" t="str">
        <f t="shared" si="71"/>
        <v/>
      </c>
      <c r="BU170" t="str">
        <f t="shared" si="72"/>
        <v/>
      </c>
      <c r="BV170" t="str">
        <f t="shared" si="73"/>
        <v/>
      </c>
      <c r="BW170" t="str">
        <f t="shared" si="74"/>
        <v/>
      </c>
      <c r="BX170" t="str">
        <f t="shared" si="75"/>
        <v/>
      </c>
      <c r="BY170" t="str">
        <f t="shared" si="76"/>
        <v/>
      </c>
      <c r="BZ170" t="str">
        <f t="shared" si="77"/>
        <v/>
      </c>
      <c r="CA170" t="str">
        <f t="shared" si="78"/>
        <v/>
      </c>
      <c r="CB170" t="str">
        <f t="shared" si="79"/>
        <v/>
      </c>
      <c r="CC170" t="str">
        <f t="shared" si="80"/>
        <v/>
      </c>
      <c r="CD170" t="str">
        <f t="shared" si="81"/>
        <v/>
      </c>
    </row>
    <row r="171" spans="1:82" ht="33.6" customHeight="1" x14ac:dyDescent="0.3">
      <c r="A171" s="4"/>
      <c r="B171" s="4"/>
      <c r="C171" s="4"/>
      <c r="D171" s="5"/>
      <c r="E171" s="6"/>
      <c r="F171" s="5"/>
      <c r="G171" s="6"/>
      <c r="H171" s="5"/>
      <c r="I171" s="21"/>
      <c r="J171" s="5"/>
      <c r="K171" s="6"/>
      <c r="L171" s="5"/>
      <c r="M171" s="6"/>
      <c r="N171" s="5"/>
      <c r="O171" s="6"/>
      <c r="P171" s="5"/>
      <c r="Q171" s="6"/>
      <c r="R171" s="5"/>
      <c r="S171" s="6"/>
      <c r="T171" s="5"/>
      <c r="U171" s="21"/>
      <c r="V171" s="5"/>
      <c r="W171" s="6"/>
      <c r="X171" s="5"/>
      <c r="Y171" s="6"/>
      <c r="Z171" s="5"/>
      <c r="AA171" s="6"/>
      <c r="AB171" s="5"/>
      <c r="AC171" s="6"/>
      <c r="AD171" s="5"/>
      <c r="AE171" s="6"/>
      <c r="AF171" s="5"/>
      <c r="AG171" s="21"/>
      <c r="AH171" s="5"/>
      <c r="AI171" s="6"/>
      <c r="AJ171" s="5"/>
      <c r="AK171" s="6"/>
      <c r="AL171" s="5"/>
      <c r="AM171" s="21"/>
      <c r="AN171" s="5"/>
      <c r="AO171" s="6"/>
      <c r="AP171" s="5"/>
      <c r="AQ171" s="6"/>
      <c r="AR171" s="5"/>
      <c r="AS171" s="21"/>
      <c r="AT171" s="5"/>
      <c r="AU171" s="6"/>
      <c r="AV171" s="5"/>
      <c r="AW171" s="6"/>
      <c r="AX171" s="5"/>
      <c r="AY171" s="21"/>
      <c r="AZ171" s="6"/>
      <c r="BA171" s="6"/>
      <c r="BB171" s="6"/>
      <c r="BC171" s="7" t="str">
        <f t="shared" si="82"/>
        <v/>
      </c>
      <c r="BD171" s="7" t="str">
        <f t="shared" si="83"/>
        <v/>
      </c>
      <c r="BE171" s="4"/>
      <c r="BF171" s="16"/>
      <c r="BG171" s="16" t="str">
        <f t="shared" si="58"/>
        <v/>
      </c>
      <c r="BH171" s="16" t="str">
        <f t="shared" si="59"/>
        <v/>
      </c>
      <c r="BI171" s="16" t="str">
        <f t="shared" si="60"/>
        <v/>
      </c>
      <c r="BJ171" s="16" t="str">
        <f t="shared" si="61"/>
        <v/>
      </c>
      <c r="BK171" t="str">
        <f t="shared" si="62"/>
        <v/>
      </c>
      <c r="BL171" t="str">
        <f t="shared" si="63"/>
        <v/>
      </c>
      <c r="BM171" t="str">
        <f t="shared" si="64"/>
        <v/>
      </c>
      <c r="BN171" t="str">
        <f t="shared" si="65"/>
        <v/>
      </c>
      <c r="BO171" t="str">
        <f t="shared" si="66"/>
        <v/>
      </c>
      <c r="BP171" t="str">
        <f t="shared" si="67"/>
        <v/>
      </c>
      <c r="BQ171" t="str">
        <f t="shared" si="68"/>
        <v/>
      </c>
      <c r="BR171" t="str">
        <f t="shared" si="69"/>
        <v/>
      </c>
      <c r="BS171" t="str">
        <f t="shared" si="70"/>
        <v/>
      </c>
      <c r="BT171" t="str">
        <f t="shared" si="71"/>
        <v/>
      </c>
      <c r="BU171" t="str">
        <f t="shared" si="72"/>
        <v/>
      </c>
      <c r="BV171" t="str">
        <f t="shared" si="73"/>
        <v/>
      </c>
      <c r="BW171" t="str">
        <f t="shared" si="74"/>
        <v/>
      </c>
      <c r="BX171" t="str">
        <f t="shared" si="75"/>
        <v/>
      </c>
      <c r="BY171" t="str">
        <f t="shared" si="76"/>
        <v/>
      </c>
      <c r="BZ171" t="str">
        <f t="shared" si="77"/>
        <v/>
      </c>
      <c r="CA171" t="str">
        <f t="shared" si="78"/>
        <v/>
      </c>
      <c r="CB171" t="str">
        <f t="shared" si="79"/>
        <v/>
      </c>
      <c r="CC171" t="str">
        <f t="shared" si="80"/>
        <v/>
      </c>
      <c r="CD171" t="str">
        <f t="shared" si="81"/>
        <v/>
      </c>
    </row>
    <row r="172" spans="1:82" ht="33.6" customHeight="1" x14ac:dyDescent="0.3">
      <c r="A172" s="4"/>
      <c r="B172" s="4"/>
      <c r="C172" s="4"/>
      <c r="D172" s="5"/>
      <c r="E172" s="6"/>
      <c r="F172" s="5"/>
      <c r="G172" s="6"/>
      <c r="H172" s="5"/>
      <c r="I172" s="21"/>
      <c r="J172" s="5"/>
      <c r="K172" s="6"/>
      <c r="L172" s="5"/>
      <c r="M172" s="6"/>
      <c r="N172" s="5"/>
      <c r="O172" s="6"/>
      <c r="P172" s="5"/>
      <c r="Q172" s="6"/>
      <c r="R172" s="5"/>
      <c r="S172" s="6"/>
      <c r="T172" s="5"/>
      <c r="U172" s="21"/>
      <c r="V172" s="5"/>
      <c r="W172" s="6"/>
      <c r="X172" s="5"/>
      <c r="Y172" s="6"/>
      <c r="Z172" s="5"/>
      <c r="AA172" s="6"/>
      <c r="AB172" s="5"/>
      <c r="AC172" s="6"/>
      <c r="AD172" s="5"/>
      <c r="AE172" s="6"/>
      <c r="AF172" s="5"/>
      <c r="AG172" s="21"/>
      <c r="AH172" s="5"/>
      <c r="AI172" s="6"/>
      <c r="AJ172" s="5"/>
      <c r="AK172" s="6"/>
      <c r="AL172" s="5"/>
      <c r="AM172" s="21"/>
      <c r="AN172" s="5"/>
      <c r="AO172" s="6"/>
      <c r="AP172" s="5"/>
      <c r="AQ172" s="6"/>
      <c r="AR172" s="5"/>
      <c r="AS172" s="21"/>
      <c r="AT172" s="5"/>
      <c r="AU172" s="6"/>
      <c r="AV172" s="5"/>
      <c r="AW172" s="6"/>
      <c r="AX172" s="5"/>
      <c r="AY172" s="21"/>
      <c r="AZ172" s="6"/>
      <c r="BA172" s="6"/>
      <c r="BB172" s="6"/>
      <c r="BC172" s="7" t="str">
        <f t="shared" si="82"/>
        <v/>
      </c>
      <c r="BD172" s="7" t="str">
        <f t="shared" si="83"/>
        <v/>
      </c>
      <c r="BE172" s="4"/>
      <c r="BF172" s="16"/>
      <c r="BG172" s="16" t="str">
        <f t="shared" si="58"/>
        <v/>
      </c>
      <c r="BH172" s="16" t="str">
        <f t="shared" si="59"/>
        <v/>
      </c>
      <c r="BI172" s="16" t="str">
        <f t="shared" si="60"/>
        <v/>
      </c>
      <c r="BJ172" s="16" t="str">
        <f t="shared" si="61"/>
        <v/>
      </c>
      <c r="BK172" t="str">
        <f t="shared" si="62"/>
        <v/>
      </c>
      <c r="BL172" t="str">
        <f t="shared" si="63"/>
        <v/>
      </c>
      <c r="BM172" t="str">
        <f t="shared" si="64"/>
        <v/>
      </c>
      <c r="BN172" t="str">
        <f t="shared" si="65"/>
        <v/>
      </c>
      <c r="BO172" t="str">
        <f t="shared" si="66"/>
        <v/>
      </c>
      <c r="BP172" t="str">
        <f t="shared" si="67"/>
        <v/>
      </c>
      <c r="BQ172" t="str">
        <f t="shared" si="68"/>
        <v/>
      </c>
      <c r="BR172" t="str">
        <f t="shared" si="69"/>
        <v/>
      </c>
      <c r="BS172" t="str">
        <f t="shared" si="70"/>
        <v/>
      </c>
      <c r="BT172" t="str">
        <f t="shared" si="71"/>
        <v/>
      </c>
      <c r="BU172" t="str">
        <f t="shared" si="72"/>
        <v/>
      </c>
      <c r="BV172" t="str">
        <f t="shared" si="73"/>
        <v/>
      </c>
      <c r="BW172" t="str">
        <f t="shared" si="74"/>
        <v/>
      </c>
      <c r="BX172" t="str">
        <f t="shared" si="75"/>
        <v/>
      </c>
      <c r="BY172" t="str">
        <f t="shared" si="76"/>
        <v/>
      </c>
      <c r="BZ172" t="str">
        <f t="shared" si="77"/>
        <v/>
      </c>
      <c r="CA172" t="str">
        <f t="shared" si="78"/>
        <v/>
      </c>
      <c r="CB172" t="str">
        <f t="shared" si="79"/>
        <v/>
      </c>
      <c r="CC172" t="str">
        <f t="shared" si="80"/>
        <v/>
      </c>
      <c r="CD172" t="str">
        <f t="shared" si="81"/>
        <v/>
      </c>
    </row>
    <row r="173" spans="1:82" ht="33.6" customHeight="1" x14ac:dyDescent="0.3">
      <c r="A173" s="4"/>
      <c r="B173" s="4"/>
      <c r="C173" s="4"/>
      <c r="D173" s="5"/>
      <c r="E173" s="6"/>
      <c r="F173" s="5"/>
      <c r="G173" s="6"/>
      <c r="H173" s="5"/>
      <c r="I173" s="21"/>
      <c r="J173" s="5"/>
      <c r="K173" s="6"/>
      <c r="L173" s="5"/>
      <c r="M173" s="6"/>
      <c r="N173" s="5"/>
      <c r="O173" s="6"/>
      <c r="P173" s="5"/>
      <c r="Q173" s="6"/>
      <c r="R173" s="5"/>
      <c r="S173" s="6"/>
      <c r="T173" s="5"/>
      <c r="U173" s="21"/>
      <c r="V173" s="5"/>
      <c r="W173" s="6"/>
      <c r="X173" s="5"/>
      <c r="Y173" s="6"/>
      <c r="Z173" s="5"/>
      <c r="AA173" s="6"/>
      <c r="AB173" s="5"/>
      <c r="AC173" s="6"/>
      <c r="AD173" s="5"/>
      <c r="AE173" s="6"/>
      <c r="AF173" s="5"/>
      <c r="AG173" s="21"/>
      <c r="AH173" s="5"/>
      <c r="AI173" s="6"/>
      <c r="AJ173" s="5"/>
      <c r="AK173" s="6"/>
      <c r="AL173" s="5"/>
      <c r="AM173" s="21"/>
      <c r="AN173" s="5"/>
      <c r="AO173" s="6"/>
      <c r="AP173" s="5"/>
      <c r="AQ173" s="6"/>
      <c r="AR173" s="5"/>
      <c r="AS173" s="21"/>
      <c r="AT173" s="5"/>
      <c r="AU173" s="6"/>
      <c r="AV173" s="5"/>
      <c r="AW173" s="6"/>
      <c r="AX173" s="5"/>
      <c r="AY173" s="21"/>
      <c r="AZ173" s="6"/>
      <c r="BA173" s="6"/>
      <c r="BB173" s="6"/>
      <c r="BC173" s="7" t="str">
        <f t="shared" si="82"/>
        <v/>
      </c>
      <c r="BD173" s="7" t="str">
        <f t="shared" si="83"/>
        <v/>
      </c>
      <c r="BE173" s="4"/>
      <c r="BF173" s="16"/>
      <c r="BG173" s="16" t="str">
        <f t="shared" si="58"/>
        <v/>
      </c>
      <c r="BH173" s="16" t="str">
        <f t="shared" si="59"/>
        <v/>
      </c>
      <c r="BI173" s="16" t="str">
        <f t="shared" si="60"/>
        <v/>
      </c>
      <c r="BJ173" s="16" t="str">
        <f t="shared" si="61"/>
        <v/>
      </c>
      <c r="BK173" t="str">
        <f t="shared" si="62"/>
        <v/>
      </c>
      <c r="BL173" t="str">
        <f t="shared" si="63"/>
        <v/>
      </c>
      <c r="BM173" t="str">
        <f t="shared" si="64"/>
        <v/>
      </c>
      <c r="BN173" t="str">
        <f t="shared" si="65"/>
        <v/>
      </c>
      <c r="BO173" t="str">
        <f t="shared" si="66"/>
        <v/>
      </c>
      <c r="BP173" t="str">
        <f t="shared" si="67"/>
        <v/>
      </c>
      <c r="BQ173" t="str">
        <f t="shared" si="68"/>
        <v/>
      </c>
      <c r="BR173" t="str">
        <f t="shared" si="69"/>
        <v/>
      </c>
      <c r="BS173" t="str">
        <f t="shared" si="70"/>
        <v/>
      </c>
      <c r="BT173" t="str">
        <f t="shared" si="71"/>
        <v/>
      </c>
      <c r="BU173" t="str">
        <f t="shared" si="72"/>
        <v/>
      </c>
      <c r="BV173" t="str">
        <f t="shared" si="73"/>
        <v/>
      </c>
      <c r="BW173" t="str">
        <f t="shared" si="74"/>
        <v/>
      </c>
      <c r="BX173" t="str">
        <f t="shared" si="75"/>
        <v/>
      </c>
      <c r="BY173" t="str">
        <f t="shared" si="76"/>
        <v/>
      </c>
      <c r="BZ173" t="str">
        <f t="shared" si="77"/>
        <v/>
      </c>
      <c r="CA173" t="str">
        <f t="shared" si="78"/>
        <v/>
      </c>
      <c r="CB173" t="str">
        <f t="shared" si="79"/>
        <v/>
      </c>
      <c r="CC173" t="str">
        <f t="shared" si="80"/>
        <v/>
      </c>
      <c r="CD173" t="str">
        <f t="shared" si="81"/>
        <v/>
      </c>
    </row>
    <row r="174" spans="1:82" ht="33.6" customHeight="1" x14ac:dyDescent="0.3">
      <c r="A174" s="4"/>
      <c r="B174" s="4"/>
      <c r="C174" s="4"/>
      <c r="D174" s="5"/>
      <c r="E174" s="6"/>
      <c r="F174" s="5"/>
      <c r="G174" s="6"/>
      <c r="H174" s="5"/>
      <c r="I174" s="21"/>
      <c r="J174" s="5"/>
      <c r="K174" s="6"/>
      <c r="L174" s="5"/>
      <c r="M174" s="6"/>
      <c r="N174" s="5"/>
      <c r="O174" s="6"/>
      <c r="P174" s="5"/>
      <c r="Q174" s="6"/>
      <c r="R174" s="5"/>
      <c r="S174" s="6"/>
      <c r="T174" s="5"/>
      <c r="U174" s="21"/>
      <c r="V174" s="5"/>
      <c r="W174" s="6"/>
      <c r="X174" s="5"/>
      <c r="Y174" s="6"/>
      <c r="Z174" s="5"/>
      <c r="AA174" s="6"/>
      <c r="AB174" s="5"/>
      <c r="AC174" s="6"/>
      <c r="AD174" s="5"/>
      <c r="AE174" s="6"/>
      <c r="AF174" s="5"/>
      <c r="AG174" s="21"/>
      <c r="AH174" s="5"/>
      <c r="AI174" s="6"/>
      <c r="AJ174" s="5"/>
      <c r="AK174" s="6"/>
      <c r="AL174" s="5"/>
      <c r="AM174" s="21"/>
      <c r="AN174" s="5"/>
      <c r="AO174" s="6"/>
      <c r="AP174" s="5"/>
      <c r="AQ174" s="6"/>
      <c r="AR174" s="5"/>
      <c r="AS174" s="21"/>
      <c r="AT174" s="5"/>
      <c r="AU174" s="6"/>
      <c r="AV174" s="5"/>
      <c r="AW174" s="6"/>
      <c r="AX174" s="5"/>
      <c r="AY174" s="21"/>
      <c r="AZ174" s="6"/>
      <c r="BA174" s="6"/>
      <c r="BB174" s="6"/>
      <c r="BC174" s="7" t="str">
        <f t="shared" si="82"/>
        <v/>
      </c>
      <c r="BD174" s="7" t="str">
        <f t="shared" si="83"/>
        <v/>
      </c>
      <c r="BE174" s="4"/>
      <c r="BF174" s="16"/>
      <c r="BG174" s="16" t="str">
        <f t="shared" si="58"/>
        <v/>
      </c>
      <c r="BH174" s="16" t="str">
        <f t="shared" si="59"/>
        <v/>
      </c>
      <c r="BI174" s="16" t="str">
        <f t="shared" si="60"/>
        <v/>
      </c>
      <c r="BJ174" s="16" t="str">
        <f t="shared" si="61"/>
        <v/>
      </c>
      <c r="BK174" t="str">
        <f t="shared" si="62"/>
        <v/>
      </c>
      <c r="BL174" t="str">
        <f t="shared" si="63"/>
        <v/>
      </c>
      <c r="BM174" t="str">
        <f t="shared" si="64"/>
        <v/>
      </c>
      <c r="BN174" t="str">
        <f t="shared" si="65"/>
        <v/>
      </c>
      <c r="BO174" t="str">
        <f t="shared" si="66"/>
        <v/>
      </c>
      <c r="BP174" t="str">
        <f t="shared" si="67"/>
        <v/>
      </c>
      <c r="BQ174" t="str">
        <f t="shared" si="68"/>
        <v/>
      </c>
      <c r="BR174" t="str">
        <f t="shared" si="69"/>
        <v/>
      </c>
      <c r="BS174" t="str">
        <f t="shared" si="70"/>
        <v/>
      </c>
      <c r="BT174" t="str">
        <f t="shared" si="71"/>
        <v/>
      </c>
      <c r="BU174" t="str">
        <f t="shared" si="72"/>
        <v/>
      </c>
      <c r="BV174" t="str">
        <f t="shared" si="73"/>
        <v/>
      </c>
      <c r="BW174" t="str">
        <f t="shared" si="74"/>
        <v/>
      </c>
      <c r="BX174" t="str">
        <f t="shared" si="75"/>
        <v/>
      </c>
      <c r="BY174" t="str">
        <f t="shared" si="76"/>
        <v/>
      </c>
      <c r="BZ174" t="str">
        <f t="shared" si="77"/>
        <v/>
      </c>
      <c r="CA174" t="str">
        <f t="shared" si="78"/>
        <v/>
      </c>
      <c r="CB174" t="str">
        <f t="shared" si="79"/>
        <v/>
      </c>
      <c r="CC174" t="str">
        <f t="shared" si="80"/>
        <v/>
      </c>
      <c r="CD174" t="str">
        <f t="shared" si="81"/>
        <v/>
      </c>
    </row>
    <row r="175" spans="1:82" ht="33.6" customHeight="1" x14ac:dyDescent="0.3">
      <c r="A175" s="4"/>
      <c r="B175" s="4"/>
      <c r="C175" s="4"/>
      <c r="D175" s="5"/>
      <c r="E175" s="6"/>
      <c r="F175" s="5"/>
      <c r="G175" s="6"/>
      <c r="H175" s="5"/>
      <c r="I175" s="21"/>
      <c r="J175" s="5"/>
      <c r="K175" s="6"/>
      <c r="L175" s="5"/>
      <c r="M175" s="6"/>
      <c r="N175" s="5"/>
      <c r="O175" s="6"/>
      <c r="P175" s="5"/>
      <c r="Q175" s="6"/>
      <c r="R175" s="5"/>
      <c r="S175" s="6"/>
      <c r="T175" s="5"/>
      <c r="U175" s="21"/>
      <c r="V175" s="5"/>
      <c r="W175" s="6"/>
      <c r="X175" s="5"/>
      <c r="Y175" s="6"/>
      <c r="Z175" s="5"/>
      <c r="AA175" s="6"/>
      <c r="AB175" s="5"/>
      <c r="AC175" s="6"/>
      <c r="AD175" s="5"/>
      <c r="AE175" s="6"/>
      <c r="AF175" s="5"/>
      <c r="AG175" s="21"/>
      <c r="AH175" s="5"/>
      <c r="AI175" s="6"/>
      <c r="AJ175" s="5"/>
      <c r="AK175" s="6"/>
      <c r="AL175" s="5"/>
      <c r="AM175" s="21"/>
      <c r="AN175" s="5"/>
      <c r="AO175" s="6"/>
      <c r="AP175" s="5"/>
      <c r="AQ175" s="6"/>
      <c r="AR175" s="5"/>
      <c r="AS175" s="21"/>
      <c r="AT175" s="5"/>
      <c r="AU175" s="6"/>
      <c r="AV175" s="5"/>
      <c r="AW175" s="6"/>
      <c r="AX175" s="5"/>
      <c r="AY175" s="21"/>
      <c r="AZ175" s="6"/>
      <c r="BA175" s="6"/>
      <c r="BB175" s="6"/>
      <c r="BC175" s="7" t="str">
        <f t="shared" si="82"/>
        <v/>
      </c>
      <c r="BD175" s="7" t="str">
        <f t="shared" si="83"/>
        <v/>
      </c>
      <c r="BE175" s="4"/>
      <c r="BF175" s="16"/>
      <c r="BG175" s="16" t="str">
        <f t="shared" si="58"/>
        <v/>
      </c>
      <c r="BH175" s="16" t="str">
        <f t="shared" si="59"/>
        <v/>
      </c>
      <c r="BI175" s="16" t="str">
        <f t="shared" si="60"/>
        <v/>
      </c>
      <c r="BJ175" s="16" t="str">
        <f t="shared" si="61"/>
        <v/>
      </c>
      <c r="BK175" t="str">
        <f t="shared" si="62"/>
        <v/>
      </c>
      <c r="BL175" t="str">
        <f t="shared" si="63"/>
        <v/>
      </c>
      <c r="BM175" t="str">
        <f t="shared" si="64"/>
        <v/>
      </c>
      <c r="BN175" t="str">
        <f t="shared" si="65"/>
        <v/>
      </c>
      <c r="BO175" t="str">
        <f t="shared" si="66"/>
        <v/>
      </c>
      <c r="BP175" t="str">
        <f t="shared" si="67"/>
        <v/>
      </c>
      <c r="BQ175" t="str">
        <f t="shared" si="68"/>
        <v/>
      </c>
      <c r="BR175" t="str">
        <f t="shared" si="69"/>
        <v/>
      </c>
      <c r="BS175" t="str">
        <f t="shared" si="70"/>
        <v/>
      </c>
      <c r="BT175" t="str">
        <f t="shared" si="71"/>
        <v/>
      </c>
      <c r="BU175" t="str">
        <f t="shared" si="72"/>
        <v/>
      </c>
      <c r="BV175" t="str">
        <f t="shared" si="73"/>
        <v/>
      </c>
      <c r="BW175" t="str">
        <f t="shared" si="74"/>
        <v/>
      </c>
      <c r="BX175" t="str">
        <f t="shared" si="75"/>
        <v/>
      </c>
      <c r="BY175" t="str">
        <f t="shared" si="76"/>
        <v/>
      </c>
      <c r="BZ175" t="str">
        <f t="shared" si="77"/>
        <v/>
      </c>
      <c r="CA175" t="str">
        <f t="shared" si="78"/>
        <v/>
      </c>
      <c r="CB175" t="str">
        <f t="shared" si="79"/>
        <v/>
      </c>
      <c r="CC175" t="str">
        <f t="shared" si="80"/>
        <v/>
      </c>
      <c r="CD175" t="str">
        <f t="shared" si="81"/>
        <v/>
      </c>
    </row>
    <row r="176" spans="1:82" ht="33.6" customHeight="1" x14ac:dyDescent="0.3">
      <c r="A176" s="4"/>
      <c r="B176" s="4"/>
      <c r="C176" s="4"/>
      <c r="D176" s="5"/>
      <c r="E176" s="6"/>
      <c r="F176" s="5"/>
      <c r="G176" s="6"/>
      <c r="H176" s="5"/>
      <c r="I176" s="21"/>
      <c r="J176" s="5"/>
      <c r="K176" s="6"/>
      <c r="L176" s="5"/>
      <c r="M176" s="6"/>
      <c r="N176" s="5"/>
      <c r="O176" s="6"/>
      <c r="P176" s="5"/>
      <c r="Q176" s="6"/>
      <c r="R176" s="5"/>
      <c r="S176" s="6"/>
      <c r="T176" s="5"/>
      <c r="U176" s="21"/>
      <c r="V176" s="5"/>
      <c r="W176" s="6"/>
      <c r="X176" s="5"/>
      <c r="Y176" s="6"/>
      <c r="Z176" s="5"/>
      <c r="AA176" s="6"/>
      <c r="AB176" s="5"/>
      <c r="AC176" s="6"/>
      <c r="AD176" s="5"/>
      <c r="AE176" s="6"/>
      <c r="AF176" s="5"/>
      <c r="AG176" s="21"/>
      <c r="AH176" s="5"/>
      <c r="AI176" s="6"/>
      <c r="AJ176" s="5"/>
      <c r="AK176" s="6"/>
      <c r="AL176" s="5"/>
      <c r="AM176" s="21"/>
      <c r="AN176" s="5"/>
      <c r="AO176" s="6"/>
      <c r="AP176" s="5"/>
      <c r="AQ176" s="6"/>
      <c r="AR176" s="5"/>
      <c r="AS176" s="21"/>
      <c r="AT176" s="5"/>
      <c r="AU176" s="6"/>
      <c r="AV176" s="5"/>
      <c r="AW176" s="6"/>
      <c r="AX176" s="5"/>
      <c r="AY176" s="21"/>
      <c r="AZ176" s="6"/>
      <c r="BA176" s="6"/>
      <c r="BB176" s="6"/>
      <c r="BC176" s="7" t="str">
        <f t="shared" si="82"/>
        <v/>
      </c>
      <c r="BD176" s="7" t="str">
        <f t="shared" si="83"/>
        <v/>
      </c>
      <c r="BE176" s="4"/>
      <c r="BF176" s="16"/>
      <c r="BG176" s="16" t="str">
        <f t="shared" si="58"/>
        <v/>
      </c>
      <c r="BH176" s="16" t="str">
        <f t="shared" si="59"/>
        <v/>
      </c>
      <c r="BI176" s="16" t="str">
        <f t="shared" si="60"/>
        <v/>
      </c>
      <c r="BJ176" s="16" t="str">
        <f t="shared" si="61"/>
        <v/>
      </c>
      <c r="BK176" t="str">
        <f t="shared" si="62"/>
        <v/>
      </c>
      <c r="BL176" t="str">
        <f t="shared" si="63"/>
        <v/>
      </c>
      <c r="BM176" t="str">
        <f t="shared" si="64"/>
        <v/>
      </c>
      <c r="BN176" t="str">
        <f t="shared" si="65"/>
        <v/>
      </c>
      <c r="BO176" t="str">
        <f t="shared" si="66"/>
        <v/>
      </c>
      <c r="BP176" t="str">
        <f t="shared" si="67"/>
        <v/>
      </c>
      <c r="BQ176" t="str">
        <f t="shared" si="68"/>
        <v/>
      </c>
      <c r="BR176" t="str">
        <f t="shared" si="69"/>
        <v/>
      </c>
      <c r="BS176" t="str">
        <f t="shared" si="70"/>
        <v/>
      </c>
      <c r="BT176" t="str">
        <f t="shared" si="71"/>
        <v/>
      </c>
      <c r="BU176" t="str">
        <f t="shared" si="72"/>
        <v/>
      </c>
      <c r="BV176" t="str">
        <f t="shared" si="73"/>
        <v/>
      </c>
      <c r="BW176" t="str">
        <f t="shared" si="74"/>
        <v/>
      </c>
      <c r="BX176" t="str">
        <f t="shared" si="75"/>
        <v/>
      </c>
      <c r="BY176" t="str">
        <f t="shared" si="76"/>
        <v/>
      </c>
      <c r="BZ176" t="str">
        <f t="shared" si="77"/>
        <v/>
      </c>
      <c r="CA176" t="str">
        <f t="shared" si="78"/>
        <v/>
      </c>
      <c r="CB176" t="str">
        <f t="shared" si="79"/>
        <v/>
      </c>
      <c r="CC176" t="str">
        <f t="shared" si="80"/>
        <v/>
      </c>
      <c r="CD176" t="str">
        <f t="shared" si="81"/>
        <v/>
      </c>
    </row>
    <row r="177" spans="1:82" ht="33.6" customHeight="1" x14ac:dyDescent="0.3">
      <c r="A177" s="4"/>
      <c r="B177" s="4"/>
      <c r="C177" s="4"/>
      <c r="D177" s="5"/>
      <c r="E177" s="6"/>
      <c r="F177" s="5"/>
      <c r="G177" s="6"/>
      <c r="H177" s="5"/>
      <c r="I177" s="21"/>
      <c r="J177" s="5"/>
      <c r="K177" s="6"/>
      <c r="L177" s="5"/>
      <c r="M177" s="6"/>
      <c r="N177" s="5"/>
      <c r="O177" s="6"/>
      <c r="P177" s="5"/>
      <c r="Q177" s="6"/>
      <c r="R177" s="5"/>
      <c r="S177" s="6"/>
      <c r="T177" s="5"/>
      <c r="U177" s="21"/>
      <c r="V177" s="5"/>
      <c r="W177" s="6"/>
      <c r="X177" s="5"/>
      <c r="Y177" s="6"/>
      <c r="Z177" s="5"/>
      <c r="AA177" s="6"/>
      <c r="AB177" s="5"/>
      <c r="AC177" s="6"/>
      <c r="AD177" s="5"/>
      <c r="AE177" s="6"/>
      <c r="AF177" s="5"/>
      <c r="AG177" s="21"/>
      <c r="AH177" s="5"/>
      <c r="AI177" s="6"/>
      <c r="AJ177" s="5"/>
      <c r="AK177" s="6"/>
      <c r="AL177" s="5"/>
      <c r="AM177" s="21"/>
      <c r="AN177" s="5"/>
      <c r="AO177" s="6"/>
      <c r="AP177" s="5"/>
      <c r="AQ177" s="6"/>
      <c r="AR177" s="5"/>
      <c r="AS177" s="21"/>
      <c r="AT177" s="5"/>
      <c r="AU177" s="6"/>
      <c r="AV177" s="5"/>
      <c r="AW177" s="6"/>
      <c r="AX177" s="5"/>
      <c r="AY177" s="21"/>
      <c r="AZ177" s="6"/>
      <c r="BA177" s="6"/>
      <c r="BB177" s="6"/>
      <c r="BC177" s="7" t="str">
        <f t="shared" si="82"/>
        <v/>
      </c>
      <c r="BD177" s="7" t="str">
        <f t="shared" si="83"/>
        <v/>
      </c>
      <c r="BE177" s="4"/>
      <c r="BF177" s="16"/>
      <c r="BG177" s="16" t="str">
        <f t="shared" si="58"/>
        <v/>
      </c>
      <c r="BH177" s="16" t="str">
        <f t="shared" si="59"/>
        <v/>
      </c>
      <c r="BI177" s="16" t="str">
        <f t="shared" si="60"/>
        <v/>
      </c>
      <c r="BJ177" s="16" t="str">
        <f t="shared" si="61"/>
        <v/>
      </c>
      <c r="BK177" t="str">
        <f t="shared" si="62"/>
        <v/>
      </c>
      <c r="BL177" t="str">
        <f t="shared" si="63"/>
        <v/>
      </c>
      <c r="BM177" t="str">
        <f t="shared" si="64"/>
        <v/>
      </c>
      <c r="BN177" t="str">
        <f t="shared" si="65"/>
        <v/>
      </c>
      <c r="BO177" t="str">
        <f t="shared" si="66"/>
        <v/>
      </c>
      <c r="BP177" t="str">
        <f t="shared" si="67"/>
        <v/>
      </c>
      <c r="BQ177" t="str">
        <f t="shared" si="68"/>
        <v/>
      </c>
      <c r="BR177" t="str">
        <f t="shared" si="69"/>
        <v/>
      </c>
      <c r="BS177" t="str">
        <f t="shared" si="70"/>
        <v/>
      </c>
      <c r="BT177" t="str">
        <f t="shared" si="71"/>
        <v/>
      </c>
      <c r="BU177" t="str">
        <f t="shared" si="72"/>
        <v/>
      </c>
      <c r="BV177" t="str">
        <f t="shared" si="73"/>
        <v/>
      </c>
      <c r="BW177" t="str">
        <f t="shared" si="74"/>
        <v/>
      </c>
      <c r="BX177" t="str">
        <f t="shared" si="75"/>
        <v/>
      </c>
      <c r="BY177" t="str">
        <f t="shared" si="76"/>
        <v/>
      </c>
      <c r="BZ177" t="str">
        <f t="shared" si="77"/>
        <v/>
      </c>
      <c r="CA177" t="str">
        <f t="shared" si="78"/>
        <v/>
      </c>
      <c r="CB177" t="str">
        <f t="shared" si="79"/>
        <v/>
      </c>
      <c r="CC177" t="str">
        <f t="shared" si="80"/>
        <v/>
      </c>
      <c r="CD177" t="str">
        <f t="shared" si="81"/>
        <v/>
      </c>
    </row>
    <row r="178" spans="1:82" ht="33.6" customHeight="1" x14ac:dyDescent="0.3">
      <c r="A178" s="4"/>
      <c r="B178" s="4"/>
      <c r="C178" s="4"/>
      <c r="D178" s="5"/>
      <c r="E178" s="6"/>
      <c r="F178" s="5"/>
      <c r="G178" s="6"/>
      <c r="H178" s="5"/>
      <c r="I178" s="21"/>
      <c r="J178" s="5"/>
      <c r="K178" s="6"/>
      <c r="L178" s="5"/>
      <c r="M178" s="6"/>
      <c r="N178" s="5"/>
      <c r="O178" s="6"/>
      <c r="P178" s="5"/>
      <c r="Q178" s="6"/>
      <c r="R178" s="5"/>
      <c r="S178" s="6"/>
      <c r="T178" s="5"/>
      <c r="U178" s="21"/>
      <c r="V178" s="5"/>
      <c r="W178" s="6"/>
      <c r="X178" s="5"/>
      <c r="Y178" s="6"/>
      <c r="Z178" s="5"/>
      <c r="AA178" s="6"/>
      <c r="AB178" s="5"/>
      <c r="AC178" s="6"/>
      <c r="AD178" s="5"/>
      <c r="AE178" s="6"/>
      <c r="AF178" s="5"/>
      <c r="AG178" s="21"/>
      <c r="AH178" s="5"/>
      <c r="AI178" s="6"/>
      <c r="AJ178" s="5"/>
      <c r="AK178" s="6"/>
      <c r="AL178" s="5"/>
      <c r="AM178" s="21"/>
      <c r="AN178" s="5"/>
      <c r="AO178" s="6"/>
      <c r="AP178" s="5"/>
      <c r="AQ178" s="6"/>
      <c r="AR178" s="5"/>
      <c r="AS178" s="21"/>
      <c r="AT178" s="5"/>
      <c r="AU178" s="6"/>
      <c r="AV178" s="5"/>
      <c r="AW178" s="6"/>
      <c r="AX178" s="5"/>
      <c r="AY178" s="21"/>
      <c r="AZ178" s="6"/>
      <c r="BA178" s="6"/>
      <c r="BB178" s="6"/>
      <c r="BC178" s="7" t="str">
        <f t="shared" si="82"/>
        <v/>
      </c>
      <c r="BD178" s="7" t="str">
        <f t="shared" si="83"/>
        <v/>
      </c>
      <c r="BE178" s="4"/>
      <c r="BF178" s="16"/>
      <c r="BG178" s="16" t="str">
        <f t="shared" si="58"/>
        <v/>
      </c>
      <c r="BH178" s="16" t="str">
        <f t="shared" si="59"/>
        <v/>
      </c>
      <c r="BI178" s="16" t="str">
        <f t="shared" si="60"/>
        <v/>
      </c>
      <c r="BJ178" s="16" t="str">
        <f t="shared" si="61"/>
        <v/>
      </c>
      <c r="BK178" t="str">
        <f t="shared" si="62"/>
        <v/>
      </c>
      <c r="BL178" t="str">
        <f t="shared" si="63"/>
        <v/>
      </c>
      <c r="BM178" t="str">
        <f t="shared" si="64"/>
        <v/>
      </c>
      <c r="BN178" t="str">
        <f t="shared" si="65"/>
        <v/>
      </c>
      <c r="BO178" t="str">
        <f t="shared" si="66"/>
        <v/>
      </c>
      <c r="BP178" t="str">
        <f t="shared" si="67"/>
        <v/>
      </c>
      <c r="BQ178" t="str">
        <f t="shared" si="68"/>
        <v/>
      </c>
      <c r="BR178" t="str">
        <f t="shared" si="69"/>
        <v/>
      </c>
      <c r="BS178" t="str">
        <f t="shared" si="70"/>
        <v/>
      </c>
      <c r="BT178" t="str">
        <f t="shared" si="71"/>
        <v/>
      </c>
      <c r="BU178" t="str">
        <f t="shared" si="72"/>
        <v/>
      </c>
      <c r="BV178" t="str">
        <f t="shared" si="73"/>
        <v/>
      </c>
      <c r="BW178" t="str">
        <f t="shared" si="74"/>
        <v/>
      </c>
      <c r="BX178" t="str">
        <f t="shared" si="75"/>
        <v/>
      </c>
      <c r="BY178" t="str">
        <f t="shared" si="76"/>
        <v/>
      </c>
      <c r="BZ178" t="str">
        <f t="shared" si="77"/>
        <v/>
      </c>
      <c r="CA178" t="str">
        <f t="shared" si="78"/>
        <v/>
      </c>
      <c r="CB178" t="str">
        <f t="shared" si="79"/>
        <v/>
      </c>
      <c r="CC178" t="str">
        <f t="shared" si="80"/>
        <v/>
      </c>
      <c r="CD178" t="str">
        <f t="shared" si="81"/>
        <v/>
      </c>
    </row>
    <row r="179" spans="1:82" ht="33.6" customHeight="1" x14ac:dyDescent="0.3">
      <c r="A179" s="4"/>
      <c r="B179" s="4"/>
      <c r="C179" s="4"/>
      <c r="D179" s="5"/>
      <c r="E179" s="6"/>
      <c r="F179" s="5"/>
      <c r="G179" s="6"/>
      <c r="H179" s="5"/>
      <c r="I179" s="21"/>
      <c r="J179" s="5"/>
      <c r="K179" s="6"/>
      <c r="L179" s="5"/>
      <c r="M179" s="6"/>
      <c r="N179" s="5"/>
      <c r="O179" s="6"/>
      <c r="P179" s="5"/>
      <c r="Q179" s="6"/>
      <c r="R179" s="5"/>
      <c r="S179" s="6"/>
      <c r="T179" s="5"/>
      <c r="U179" s="21"/>
      <c r="V179" s="5"/>
      <c r="W179" s="6"/>
      <c r="X179" s="5"/>
      <c r="Y179" s="6"/>
      <c r="Z179" s="5"/>
      <c r="AA179" s="6"/>
      <c r="AB179" s="5"/>
      <c r="AC179" s="6"/>
      <c r="AD179" s="5"/>
      <c r="AE179" s="6"/>
      <c r="AF179" s="5"/>
      <c r="AG179" s="21"/>
      <c r="AH179" s="5"/>
      <c r="AI179" s="6"/>
      <c r="AJ179" s="5"/>
      <c r="AK179" s="6"/>
      <c r="AL179" s="5"/>
      <c r="AM179" s="21"/>
      <c r="AN179" s="5"/>
      <c r="AO179" s="6"/>
      <c r="AP179" s="5"/>
      <c r="AQ179" s="6"/>
      <c r="AR179" s="5"/>
      <c r="AS179" s="21"/>
      <c r="AT179" s="5"/>
      <c r="AU179" s="6"/>
      <c r="AV179" s="5"/>
      <c r="AW179" s="6"/>
      <c r="AX179" s="5"/>
      <c r="AY179" s="21"/>
      <c r="AZ179" s="6"/>
      <c r="BA179" s="6"/>
      <c r="BB179" s="6"/>
      <c r="BC179" s="7" t="str">
        <f t="shared" si="82"/>
        <v/>
      </c>
      <c r="BD179" s="7" t="str">
        <f t="shared" si="83"/>
        <v/>
      </c>
      <c r="BE179" s="4"/>
      <c r="BF179" s="16"/>
      <c r="BG179" s="16" t="str">
        <f t="shared" si="58"/>
        <v/>
      </c>
      <c r="BH179" s="16" t="str">
        <f t="shared" si="59"/>
        <v/>
      </c>
      <c r="BI179" s="16" t="str">
        <f t="shared" si="60"/>
        <v/>
      </c>
      <c r="BJ179" s="16" t="str">
        <f t="shared" si="61"/>
        <v/>
      </c>
      <c r="BK179" t="str">
        <f t="shared" si="62"/>
        <v/>
      </c>
      <c r="BL179" t="str">
        <f t="shared" si="63"/>
        <v/>
      </c>
      <c r="BM179" t="str">
        <f t="shared" si="64"/>
        <v/>
      </c>
      <c r="BN179" t="str">
        <f t="shared" si="65"/>
        <v/>
      </c>
      <c r="BO179" t="str">
        <f t="shared" si="66"/>
        <v/>
      </c>
      <c r="BP179" t="str">
        <f t="shared" si="67"/>
        <v/>
      </c>
      <c r="BQ179" t="str">
        <f t="shared" si="68"/>
        <v/>
      </c>
      <c r="BR179" t="str">
        <f t="shared" si="69"/>
        <v/>
      </c>
      <c r="BS179" t="str">
        <f t="shared" si="70"/>
        <v/>
      </c>
      <c r="BT179" t="str">
        <f t="shared" si="71"/>
        <v/>
      </c>
      <c r="BU179" t="str">
        <f t="shared" si="72"/>
        <v/>
      </c>
      <c r="BV179" t="str">
        <f t="shared" si="73"/>
        <v/>
      </c>
      <c r="BW179" t="str">
        <f t="shared" si="74"/>
        <v/>
      </c>
      <c r="BX179" t="str">
        <f t="shared" si="75"/>
        <v/>
      </c>
      <c r="BY179" t="str">
        <f t="shared" si="76"/>
        <v/>
      </c>
      <c r="BZ179" t="str">
        <f t="shared" si="77"/>
        <v/>
      </c>
      <c r="CA179" t="str">
        <f t="shared" si="78"/>
        <v/>
      </c>
      <c r="CB179" t="str">
        <f t="shared" si="79"/>
        <v/>
      </c>
      <c r="CC179" t="str">
        <f t="shared" si="80"/>
        <v/>
      </c>
      <c r="CD179" t="str">
        <f t="shared" si="81"/>
        <v/>
      </c>
    </row>
    <row r="180" spans="1:82" ht="33.6" customHeight="1" x14ac:dyDescent="0.3">
      <c r="A180" s="4"/>
      <c r="B180" s="4"/>
      <c r="C180" s="4"/>
      <c r="D180" s="5"/>
      <c r="E180" s="6"/>
      <c r="F180" s="5"/>
      <c r="G180" s="6"/>
      <c r="H180" s="5"/>
      <c r="I180" s="21"/>
      <c r="J180" s="5"/>
      <c r="K180" s="6"/>
      <c r="L180" s="5"/>
      <c r="M180" s="6"/>
      <c r="N180" s="5"/>
      <c r="O180" s="6"/>
      <c r="P180" s="5"/>
      <c r="Q180" s="6"/>
      <c r="R180" s="5"/>
      <c r="S180" s="6"/>
      <c r="T180" s="5"/>
      <c r="U180" s="21"/>
      <c r="V180" s="5"/>
      <c r="W180" s="6"/>
      <c r="X180" s="5"/>
      <c r="Y180" s="6"/>
      <c r="Z180" s="5"/>
      <c r="AA180" s="6"/>
      <c r="AB180" s="5"/>
      <c r="AC180" s="6"/>
      <c r="AD180" s="5"/>
      <c r="AE180" s="6"/>
      <c r="AF180" s="5"/>
      <c r="AG180" s="21"/>
      <c r="AH180" s="5"/>
      <c r="AI180" s="6"/>
      <c r="AJ180" s="5"/>
      <c r="AK180" s="6"/>
      <c r="AL180" s="5"/>
      <c r="AM180" s="21"/>
      <c r="AN180" s="5"/>
      <c r="AO180" s="6"/>
      <c r="AP180" s="5"/>
      <c r="AQ180" s="6"/>
      <c r="AR180" s="5"/>
      <c r="AS180" s="21"/>
      <c r="AT180" s="5"/>
      <c r="AU180" s="6"/>
      <c r="AV180" s="5"/>
      <c r="AW180" s="6"/>
      <c r="AX180" s="5"/>
      <c r="AY180" s="21"/>
      <c r="AZ180" s="6"/>
      <c r="BA180" s="6"/>
      <c r="BB180" s="6"/>
      <c r="BC180" s="7" t="str">
        <f t="shared" si="82"/>
        <v/>
      </c>
      <c r="BD180" s="7" t="str">
        <f t="shared" si="83"/>
        <v/>
      </c>
      <c r="BE180" s="4"/>
      <c r="BF180" s="16"/>
      <c r="BG180" s="16" t="str">
        <f t="shared" si="58"/>
        <v/>
      </c>
      <c r="BH180" s="16" t="str">
        <f t="shared" si="59"/>
        <v/>
      </c>
      <c r="BI180" s="16" t="str">
        <f t="shared" si="60"/>
        <v/>
      </c>
      <c r="BJ180" s="16" t="str">
        <f t="shared" si="61"/>
        <v/>
      </c>
      <c r="BK180" t="str">
        <f t="shared" si="62"/>
        <v/>
      </c>
      <c r="BL180" t="str">
        <f t="shared" si="63"/>
        <v/>
      </c>
      <c r="BM180" t="str">
        <f t="shared" si="64"/>
        <v/>
      </c>
      <c r="BN180" t="str">
        <f t="shared" si="65"/>
        <v/>
      </c>
      <c r="BO180" t="str">
        <f t="shared" si="66"/>
        <v/>
      </c>
      <c r="BP180" t="str">
        <f t="shared" si="67"/>
        <v/>
      </c>
      <c r="BQ180" t="str">
        <f t="shared" si="68"/>
        <v/>
      </c>
      <c r="BR180" t="str">
        <f t="shared" si="69"/>
        <v/>
      </c>
      <c r="BS180" t="str">
        <f t="shared" si="70"/>
        <v/>
      </c>
      <c r="BT180" t="str">
        <f t="shared" si="71"/>
        <v/>
      </c>
      <c r="BU180" t="str">
        <f t="shared" si="72"/>
        <v/>
      </c>
      <c r="BV180" t="str">
        <f t="shared" si="73"/>
        <v/>
      </c>
      <c r="BW180" t="str">
        <f t="shared" si="74"/>
        <v/>
      </c>
      <c r="BX180" t="str">
        <f t="shared" si="75"/>
        <v/>
      </c>
      <c r="BY180" t="str">
        <f t="shared" si="76"/>
        <v/>
      </c>
      <c r="BZ180" t="str">
        <f t="shared" si="77"/>
        <v/>
      </c>
      <c r="CA180" t="str">
        <f t="shared" si="78"/>
        <v/>
      </c>
      <c r="CB180" t="str">
        <f t="shared" si="79"/>
        <v/>
      </c>
      <c r="CC180" t="str">
        <f t="shared" si="80"/>
        <v/>
      </c>
      <c r="CD180" t="str">
        <f t="shared" si="81"/>
        <v/>
      </c>
    </row>
    <row r="181" spans="1:82" ht="33.6" customHeight="1" x14ac:dyDescent="0.3">
      <c r="A181" s="4"/>
      <c r="B181" s="4"/>
      <c r="C181" s="4"/>
      <c r="D181" s="5"/>
      <c r="E181" s="6"/>
      <c r="F181" s="5"/>
      <c r="G181" s="6"/>
      <c r="H181" s="5"/>
      <c r="I181" s="21"/>
      <c r="J181" s="5"/>
      <c r="K181" s="6"/>
      <c r="L181" s="5"/>
      <c r="M181" s="6"/>
      <c r="N181" s="5"/>
      <c r="O181" s="6"/>
      <c r="P181" s="5"/>
      <c r="Q181" s="6"/>
      <c r="R181" s="5"/>
      <c r="S181" s="6"/>
      <c r="T181" s="5"/>
      <c r="U181" s="21"/>
      <c r="V181" s="5"/>
      <c r="W181" s="6"/>
      <c r="X181" s="5"/>
      <c r="Y181" s="6"/>
      <c r="Z181" s="5"/>
      <c r="AA181" s="6"/>
      <c r="AB181" s="5"/>
      <c r="AC181" s="6"/>
      <c r="AD181" s="5"/>
      <c r="AE181" s="6"/>
      <c r="AF181" s="5"/>
      <c r="AG181" s="21"/>
      <c r="AH181" s="5"/>
      <c r="AI181" s="6"/>
      <c r="AJ181" s="5"/>
      <c r="AK181" s="6"/>
      <c r="AL181" s="5"/>
      <c r="AM181" s="21"/>
      <c r="AN181" s="5"/>
      <c r="AO181" s="6"/>
      <c r="AP181" s="5"/>
      <c r="AQ181" s="6"/>
      <c r="AR181" s="5"/>
      <c r="AS181" s="21"/>
      <c r="AT181" s="5"/>
      <c r="AU181" s="6"/>
      <c r="AV181" s="5"/>
      <c r="AW181" s="6"/>
      <c r="AX181" s="5"/>
      <c r="AY181" s="21"/>
      <c r="AZ181" s="6"/>
      <c r="BA181" s="6"/>
      <c r="BB181" s="6"/>
      <c r="BC181" s="7" t="str">
        <f t="shared" si="82"/>
        <v/>
      </c>
      <c r="BD181" s="7" t="str">
        <f t="shared" si="83"/>
        <v/>
      </c>
      <c r="BE181" s="4"/>
      <c r="BF181" s="16"/>
      <c r="BG181" s="16" t="str">
        <f t="shared" si="58"/>
        <v/>
      </c>
      <c r="BH181" s="16" t="str">
        <f t="shared" si="59"/>
        <v/>
      </c>
      <c r="BI181" s="16" t="str">
        <f t="shared" si="60"/>
        <v/>
      </c>
      <c r="BJ181" s="16" t="str">
        <f t="shared" si="61"/>
        <v/>
      </c>
      <c r="BK181" t="str">
        <f t="shared" si="62"/>
        <v/>
      </c>
      <c r="BL181" t="str">
        <f t="shared" si="63"/>
        <v/>
      </c>
      <c r="BM181" t="str">
        <f t="shared" si="64"/>
        <v/>
      </c>
      <c r="BN181" t="str">
        <f t="shared" si="65"/>
        <v/>
      </c>
      <c r="BO181" t="str">
        <f t="shared" si="66"/>
        <v/>
      </c>
      <c r="BP181" t="str">
        <f t="shared" si="67"/>
        <v/>
      </c>
      <c r="BQ181" t="str">
        <f t="shared" si="68"/>
        <v/>
      </c>
      <c r="BR181" t="str">
        <f t="shared" si="69"/>
        <v/>
      </c>
      <c r="BS181" t="str">
        <f t="shared" si="70"/>
        <v/>
      </c>
      <c r="BT181" t="str">
        <f t="shared" si="71"/>
        <v/>
      </c>
      <c r="BU181" t="str">
        <f t="shared" si="72"/>
        <v/>
      </c>
      <c r="BV181" t="str">
        <f t="shared" si="73"/>
        <v/>
      </c>
      <c r="BW181" t="str">
        <f t="shared" si="74"/>
        <v/>
      </c>
      <c r="BX181" t="str">
        <f t="shared" si="75"/>
        <v/>
      </c>
      <c r="BY181" t="str">
        <f t="shared" si="76"/>
        <v/>
      </c>
      <c r="BZ181" t="str">
        <f t="shared" si="77"/>
        <v/>
      </c>
      <c r="CA181" t="str">
        <f t="shared" si="78"/>
        <v/>
      </c>
      <c r="CB181" t="str">
        <f t="shared" si="79"/>
        <v/>
      </c>
      <c r="CC181" t="str">
        <f t="shared" si="80"/>
        <v/>
      </c>
      <c r="CD181" t="str">
        <f t="shared" si="81"/>
        <v/>
      </c>
    </row>
    <row r="182" spans="1:82" ht="33.6" customHeight="1" x14ac:dyDescent="0.3">
      <c r="A182" s="4"/>
      <c r="B182" s="4"/>
      <c r="C182" s="4"/>
      <c r="D182" s="5"/>
      <c r="E182" s="6"/>
      <c r="F182" s="5"/>
      <c r="G182" s="6"/>
      <c r="H182" s="5"/>
      <c r="I182" s="21"/>
      <c r="J182" s="5"/>
      <c r="K182" s="6"/>
      <c r="L182" s="5"/>
      <c r="M182" s="6"/>
      <c r="N182" s="5"/>
      <c r="O182" s="6"/>
      <c r="P182" s="5"/>
      <c r="Q182" s="6"/>
      <c r="R182" s="5"/>
      <c r="S182" s="6"/>
      <c r="T182" s="5"/>
      <c r="U182" s="21"/>
      <c r="V182" s="5"/>
      <c r="W182" s="6"/>
      <c r="X182" s="5"/>
      <c r="Y182" s="6"/>
      <c r="Z182" s="5"/>
      <c r="AA182" s="6"/>
      <c r="AB182" s="5"/>
      <c r="AC182" s="6"/>
      <c r="AD182" s="5"/>
      <c r="AE182" s="6"/>
      <c r="AF182" s="5"/>
      <c r="AG182" s="21"/>
      <c r="AH182" s="5"/>
      <c r="AI182" s="6"/>
      <c r="AJ182" s="5"/>
      <c r="AK182" s="6"/>
      <c r="AL182" s="5"/>
      <c r="AM182" s="21"/>
      <c r="AN182" s="5"/>
      <c r="AO182" s="6"/>
      <c r="AP182" s="5"/>
      <c r="AQ182" s="6"/>
      <c r="AR182" s="5"/>
      <c r="AS182" s="21"/>
      <c r="AT182" s="5"/>
      <c r="AU182" s="6"/>
      <c r="AV182" s="5"/>
      <c r="AW182" s="6"/>
      <c r="AX182" s="5"/>
      <c r="AY182" s="21"/>
      <c r="AZ182" s="6"/>
      <c r="BA182" s="6"/>
      <c r="BB182" s="6"/>
      <c r="BC182" s="7" t="str">
        <f t="shared" si="82"/>
        <v/>
      </c>
      <c r="BD182" s="7" t="str">
        <f t="shared" si="83"/>
        <v/>
      </c>
      <c r="BE182" s="4"/>
      <c r="BF182" s="16"/>
      <c r="BG182" s="16" t="str">
        <f t="shared" si="58"/>
        <v/>
      </c>
      <c r="BH182" s="16" t="str">
        <f t="shared" si="59"/>
        <v/>
      </c>
      <c r="BI182" s="16" t="str">
        <f t="shared" si="60"/>
        <v/>
      </c>
      <c r="BJ182" s="16" t="str">
        <f t="shared" si="61"/>
        <v/>
      </c>
      <c r="BK182" t="str">
        <f t="shared" si="62"/>
        <v/>
      </c>
      <c r="BL182" t="str">
        <f t="shared" si="63"/>
        <v/>
      </c>
      <c r="BM182" t="str">
        <f t="shared" si="64"/>
        <v/>
      </c>
      <c r="BN182" t="str">
        <f t="shared" si="65"/>
        <v/>
      </c>
      <c r="BO182" t="str">
        <f t="shared" si="66"/>
        <v/>
      </c>
      <c r="BP182" t="str">
        <f t="shared" si="67"/>
        <v/>
      </c>
      <c r="BQ182" t="str">
        <f t="shared" si="68"/>
        <v/>
      </c>
      <c r="BR182" t="str">
        <f t="shared" si="69"/>
        <v/>
      </c>
      <c r="BS182" t="str">
        <f t="shared" si="70"/>
        <v/>
      </c>
      <c r="BT182" t="str">
        <f t="shared" si="71"/>
        <v/>
      </c>
      <c r="BU182" t="str">
        <f t="shared" si="72"/>
        <v/>
      </c>
      <c r="BV182" t="str">
        <f t="shared" si="73"/>
        <v/>
      </c>
      <c r="BW182" t="str">
        <f t="shared" si="74"/>
        <v/>
      </c>
      <c r="BX182" t="str">
        <f t="shared" si="75"/>
        <v/>
      </c>
      <c r="BY182" t="str">
        <f t="shared" si="76"/>
        <v/>
      </c>
      <c r="BZ182" t="str">
        <f t="shared" si="77"/>
        <v/>
      </c>
      <c r="CA182" t="str">
        <f t="shared" si="78"/>
        <v/>
      </c>
      <c r="CB182" t="str">
        <f t="shared" si="79"/>
        <v/>
      </c>
      <c r="CC182" t="str">
        <f t="shared" si="80"/>
        <v/>
      </c>
      <c r="CD182" t="str">
        <f t="shared" si="81"/>
        <v/>
      </c>
    </row>
    <row r="183" spans="1:82" ht="33.6" customHeight="1" x14ac:dyDescent="0.3">
      <c r="A183" s="4"/>
      <c r="B183" s="4"/>
      <c r="C183" s="4"/>
      <c r="D183" s="5"/>
      <c r="E183" s="6"/>
      <c r="F183" s="5"/>
      <c r="G183" s="6"/>
      <c r="H183" s="5"/>
      <c r="I183" s="21"/>
      <c r="J183" s="5"/>
      <c r="K183" s="6"/>
      <c r="L183" s="5"/>
      <c r="M183" s="6"/>
      <c r="N183" s="5"/>
      <c r="O183" s="6"/>
      <c r="P183" s="5"/>
      <c r="Q183" s="6"/>
      <c r="R183" s="5"/>
      <c r="S183" s="6"/>
      <c r="T183" s="5"/>
      <c r="U183" s="21"/>
      <c r="V183" s="5"/>
      <c r="W183" s="6"/>
      <c r="X183" s="5"/>
      <c r="Y183" s="6"/>
      <c r="Z183" s="5"/>
      <c r="AA183" s="6"/>
      <c r="AB183" s="5"/>
      <c r="AC183" s="6"/>
      <c r="AD183" s="5"/>
      <c r="AE183" s="6"/>
      <c r="AF183" s="5"/>
      <c r="AG183" s="21"/>
      <c r="AH183" s="5"/>
      <c r="AI183" s="6"/>
      <c r="AJ183" s="5"/>
      <c r="AK183" s="6"/>
      <c r="AL183" s="5"/>
      <c r="AM183" s="21"/>
      <c r="AN183" s="5"/>
      <c r="AO183" s="6"/>
      <c r="AP183" s="5"/>
      <c r="AQ183" s="6"/>
      <c r="AR183" s="5"/>
      <c r="AS183" s="21"/>
      <c r="AT183" s="5"/>
      <c r="AU183" s="6"/>
      <c r="AV183" s="5"/>
      <c r="AW183" s="6"/>
      <c r="AX183" s="5"/>
      <c r="AY183" s="21"/>
      <c r="AZ183" s="6"/>
      <c r="BA183" s="6"/>
      <c r="BB183" s="6"/>
      <c r="BC183" s="7" t="str">
        <f t="shared" si="82"/>
        <v/>
      </c>
      <c r="BD183" s="7" t="str">
        <f t="shared" si="83"/>
        <v/>
      </c>
      <c r="BE183" s="4"/>
      <c r="BF183" s="16"/>
      <c r="BG183" s="16" t="str">
        <f t="shared" si="58"/>
        <v/>
      </c>
      <c r="BH183" s="16" t="str">
        <f t="shared" si="59"/>
        <v/>
      </c>
      <c r="BI183" s="16" t="str">
        <f t="shared" si="60"/>
        <v/>
      </c>
      <c r="BJ183" s="16" t="str">
        <f t="shared" si="61"/>
        <v/>
      </c>
      <c r="BK183" t="str">
        <f t="shared" si="62"/>
        <v/>
      </c>
      <c r="BL183" t="str">
        <f t="shared" si="63"/>
        <v/>
      </c>
      <c r="BM183" t="str">
        <f t="shared" si="64"/>
        <v/>
      </c>
      <c r="BN183" t="str">
        <f t="shared" si="65"/>
        <v/>
      </c>
      <c r="BO183" t="str">
        <f t="shared" si="66"/>
        <v/>
      </c>
      <c r="BP183" t="str">
        <f t="shared" si="67"/>
        <v/>
      </c>
      <c r="BQ183" t="str">
        <f t="shared" si="68"/>
        <v/>
      </c>
      <c r="BR183" t="str">
        <f t="shared" si="69"/>
        <v/>
      </c>
      <c r="BS183" t="str">
        <f t="shared" si="70"/>
        <v/>
      </c>
      <c r="BT183" t="str">
        <f t="shared" si="71"/>
        <v/>
      </c>
      <c r="BU183" t="str">
        <f t="shared" si="72"/>
        <v/>
      </c>
      <c r="BV183" t="str">
        <f t="shared" si="73"/>
        <v/>
      </c>
      <c r="BW183" t="str">
        <f t="shared" si="74"/>
        <v/>
      </c>
      <c r="BX183" t="str">
        <f t="shared" si="75"/>
        <v/>
      </c>
      <c r="BY183" t="str">
        <f t="shared" si="76"/>
        <v/>
      </c>
      <c r="BZ183" t="str">
        <f t="shared" si="77"/>
        <v/>
      </c>
      <c r="CA183" t="str">
        <f t="shared" si="78"/>
        <v/>
      </c>
      <c r="CB183" t="str">
        <f t="shared" si="79"/>
        <v/>
      </c>
      <c r="CC183" t="str">
        <f t="shared" si="80"/>
        <v/>
      </c>
      <c r="CD183" t="str">
        <f t="shared" si="81"/>
        <v/>
      </c>
    </row>
    <row r="184" spans="1:82" ht="33.6" customHeight="1" x14ac:dyDescent="0.3">
      <c r="A184" s="4"/>
      <c r="B184" s="4"/>
      <c r="C184" s="4"/>
      <c r="D184" s="5"/>
      <c r="E184" s="6"/>
      <c r="F184" s="5"/>
      <c r="G184" s="6"/>
      <c r="H184" s="5"/>
      <c r="I184" s="21"/>
      <c r="J184" s="5"/>
      <c r="K184" s="6"/>
      <c r="L184" s="5"/>
      <c r="M184" s="6"/>
      <c r="N184" s="5"/>
      <c r="O184" s="6"/>
      <c r="P184" s="5"/>
      <c r="Q184" s="6"/>
      <c r="R184" s="5"/>
      <c r="S184" s="6"/>
      <c r="T184" s="5"/>
      <c r="U184" s="21"/>
      <c r="V184" s="5"/>
      <c r="W184" s="6"/>
      <c r="X184" s="5"/>
      <c r="Y184" s="6"/>
      <c r="Z184" s="5"/>
      <c r="AA184" s="6"/>
      <c r="AB184" s="5"/>
      <c r="AC184" s="6"/>
      <c r="AD184" s="5"/>
      <c r="AE184" s="6"/>
      <c r="AF184" s="5"/>
      <c r="AG184" s="21"/>
      <c r="AH184" s="5"/>
      <c r="AI184" s="6"/>
      <c r="AJ184" s="5"/>
      <c r="AK184" s="6"/>
      <c r="AL184" s="5"/>
      <c r="AM184" s="21"/>
      <c r="AN184" s="5"/>
      <c r="AO184" s="6"/>
      <c r="AP184" s="5"/>
      <c r="AQ184" s="6"/>
      <c r="AR184" s="5"/>
      <c r="AS184" s="21"/>
      <c r="AT184" s="5"/>
      <c r="AU184" s="6"/>
      <c r="AV184" s="5"/>
      <c r="AW184" s="6"/>
      <c r="AX184" s="5"/>
      <c r="AY184" s="21"/>
      <c r="AZ184" s="6"/>
      <c r="BA184" s="6"/>
      <c r="BB184" s="6"/>
      <c r="BC184" s="7" t="str">
        <f t="shared" si="82"/>
        <v/>
      </c>
      <c r="BD184" s="7" t="str">
        <f t="shared" si="83"/>
        <v/>
      </c>
      <c r="BE184" s="4"/>
      <c r="BF184" s="16"/>
      <c r="BG184" s="16" t="str">
        <f t="shared" si="58"/>
        <v/>
      </c>
      <c r="BH184" s="16" t="str">
        <f t="shared" si="59"/>
        <v/>
      </c>
      <c r="BI184" s="16" t="str">
        <f t="shared" si="60"/>
        <v/>
      </c>
      <c r="BJ184" s="16" t="str">
        <f t="shared" si="61"/>
        <v/>
      </c>
      <c r="BK184" t="str">
        <f t="shared" si="62"/>
        <v/>
      </c>
      <c r="BL184" t="str">
        <f t="shared" si="63"/>
        <v/>
      </c>
      <c r="BM184" t="str">
        <f t="shared" si="64"/>
        <v/>
      </c>
      <c r="BN184" t="str">
        <f t="shared" si="65"/>
        <v/>
      </c>
      <c r="BO184" t="str">
        <f t="shared" si="66"/>
        <v/>
      </c>
      <c r="BP184" t="str">
        <f t="shared" si="67"/>
        <v/>
      </c>
      <c r="BQ184" t="str">
        <f t="shared" si="68"/>
        <v/>
      </c>
      <c r="BR184" t="str">
        <f t="shared" si="69"/>
        <v/>
      </c>
      <c r="BS184" t="str">
        <f t="shared" si="70"/>
        <v/>
      </c>
      <c r="BT184" t="str">
        <f t="shared" si="71"/>
        <v/>
      </c>
      <c r="BU184" t="str">
        <f t="shared" si="72"/>
        <v/>
      </c>
      <c r="BV184" t="str">
        <f t="shared" si="73"/>
        <v/>
      </c>
      <c r="BW184" t="str">
        <f t="shared" si="74"/>
        <v/>
      </c>
      <c r="BX184" t="str">
        <f t="shared" si="75"/>
        <v/>
      </c>
      <c r="BY184" t="str">
        <f t="shared" si="76"/>
        <v/>
      </c>
      <c r="BZ184" t="str">
        <f t="shared" si="77"/>
        <v/>
      </c>
      <c r="CA184" t="str">
        <f t="shared" si="78"/>
        <v/>
      </c>
      <c r="CB184" t="str">
        <f t="shared" si="79"/>
        <v/>
      </c>
      <c r="CC184" t="str">
        <f t="shared" si="80"/>
        <v/>
      </c>
      <c r="CD184" t="str">
        <f t="shared" si="81"/>
        <v/>
      </c>
    </row>
    <row r="185" spans="1:82" ht="33.6" customHeight="1" x14ac:dyDescent="0.3">
      <c r="A185" s="4"/>
      <c r="B185" s="4"/>
      <c r="C185" s="4"/>
      <c r="D185" s="5"/>
      <c r="E185" s="6"/>
      <c r="F185" s="5"/>
      <c r="G185" s="6"/>
      <c r="H185" s="5"/>
      <c r="I185" s="21"/>
      <c r="J185" s="5"/>
      <c r="K185" s="6"/>
      <c r="L185" s="5"/>
      <c r="M185" s="6"/>
      <c r="N185" s="5"/>
      <c r="O185" s="6"/>
      <c r="P185" s="5"/>
      <c r="Q185" s="6"/>
      <c r="R185" s="5"/>
      <c r="S185" s="6"/>
      <c r="T185" s="5"/>
      <c r="U185" s="21"/>
      <c r="V185" s="5"/>
      <c r="W185" s="6"/>
      <c r="X185" s="5"/>
      <c r="Y185" s="6"/>
      <c r="Z185" s="5"/>
      <c r="AA185" s="6"/>
      <c r="AB185" s="5"/>
      <c r="AC185" s="6"/>
      <c r="AD185" s="5"/>
      <c r="AE185" s="6"/>
      <c r="AF185" s="5"/>
      <c r="AG185" s="21"/>
      <c r="AH185" s="5"/>
      <c r="AI185" s="6"/>
      <c r="AJ185" s="5"/>
      <c r="AK185" s="6"/>
      <c r="AL185" s="5"/>
      <c r="AM185" s="21"/>
      <c r="AN185" s="5"/>
      <c r="AO185" s="6"/>
      <c r="AP185" s="5"/>
      <c r="AQ185" s="6"/>
      <c r="AR185" s="5"/>
      <c r="AS185" s="21"/>
      <c r="AT185" s="5"/>
      <c r="AU185" s="6"/>
      <c r="AV185" s="5"/>
      <c r="AW185" s="6"/>
      <c r="AX185" s="5"/>
      <c r="AY185" s="21"/>
      <c r="AZ185" s="6"/>
      <c r="BA185" s="6"/>
      <c r="BB185" s="6"/>
      <c r="BC185" s="7" t="str">
        <f t="shared" si="82"/>
        <v/>
      </c>
      <c r="BD185" s="7" t="str">
        <f t="shared" si="83"/>
        <v/>
      </c>
      <c r="BE185" s="4"/>
      <c r="BF185" s="16"/>
      <c r="BG185" s="16" t="str">
        <f t="shared" si="58"/>
        <v/>
      </c>
      <c r="BH185" s="16" t="str">
        <f t="shared" si="59"/>
        <v/>
      </c>
      <c r="BI185" s="16" t="str">
        <f t="shared" si="60"/>
        <v/>
      </c>
      <c r="BJ185" s="16" t="str">
        <f t="shared" si="61"/>
        <v/>
      </c>
      <c r="BK185" t="str">
        <f t="shared" si="62"/>
        <v/>
      </c>
      <c r="BL185" t="str">
        <f t="shared" si="63"/>
        <v/>
      </c>
      <c r="BM185" t="str">
        <f t="shared" si="64"/>
        <v/>
      </c>
      <c r="BN185" t="str">
        <f t="shared" si="65"/>
        <v/>
      </c>
      <c r="BO185" t="str">
        <f t="shared" si="66"/>
        <v/>
      </c>
      <c r="BP185" t="str">
        <f t="shared" si="67"/>
        <v/>
      </c>
      <c r="BQ185" t="str">
        <f t="shared" si="68"/>
        <v/>
      </c>
      <c r="BR185" t="str">
        <f t="shared" si="69"/>
        <v/>
      </c>
      <c r="BS185" t="str">
        <f t="shared" si="70"/>
        <v/>
      </c>
      <c r="BT185" t="str">
        <f t="shared" si="71"/>
        <v/>
      </c>
      <c r="BU185" t="str">
        <f t="shared" si="72"/>
        <v/>
      </c>
      <c r="BV185" t="str">
        <f t="shared" si="73"/>
        <v/>
      </c>
      <c r="BW185" t="str">
        <f t="shared" si="74"/>
        <v/>
      </c>
      <c r="BX185" t="str">
        <f t="shared" si="75"/>
        <v/>
      </c>
      <c r="BY185" t="str">
        <f t="shared" si="76"/>
        <v/>
      </c>
      <c r="BZ185" t="str">
        <f t="shared" si="77"/>
        <v/>
      </c>
      <c r="CA185" t="str">
        <f t="shared" si="78"/>
        <v/>
      </c>
      <c r="CB185" t="str">
        <f t="shared" si="79"/>
        <v/>
      </c>
      <c r="CC185" t="str">
        <f t="shared" si="80"/>
        <v/>
      </c>
      <c r="CD185" t="str">
        <f t="shared" si="81"/>
        <v/>
      </c>
    </row>
    <row r="186" spans="1:82" ht="33.6" customHeight="1" x14ac:dyDescent="0.3">
      <c r="A186" s="4"/>
      <c r="B186" s="4"/>
      <c r="C186" s="4"/>
      <c r="D186" s="5"/>
      <c r="E186" s="6"/>
      <c r="F186" s="5"/>
      <c r="G186" s="6"/>
      <c r="H186" s="5"/>
      <c r="I186" s="21"/>
      <c r="J186" s="5"/>
      <c r="K186" s="6"/>
      <c r="L186" s="5"/>
      <c r="M186" s="6"/>
      <c r="N186" s="5"/>
      <c r="O186" s="6"/>
      <c r="P186" s="5"/>
      <c r="Q186" s="6"/>
      <c r="R186" s="5"/>
      <c r="S186" s="6"/>
      <c r="T186" s="5"/>
      <c r="U186" s="21"/>
      <c r="V186" s="5"/>
      <c r="W186" s="6"/>
      <c r="X186" s="5"/>
      <c r="Y186" s="6"/>
      <c r="Z186" s="5"/>
      <c r="AA186" s="6"/>
      <c r="AB186" s="5"/>
      <c r="AC186" s="6"/>
      <c r="AD186" s="5"/>
      <c r="AE186" s="6"/>
      <c r="AF186" s="5"/>
      <c r="AG186" s="21"/>
      <c r="AH186" s="5"/>
      <c r="AI186" s="6"/>
      <c r="AJ186" s="5"/>
      <c r="AK186" s="6"/>
      <c r="AL186" s="5"/>
      <c r="AM186" s="21"/>
      <c r="AN186" s="5"/>
      <c r="AO186" s="6"/>
      <c r="AP186" s="5"/>
      <c r="AQ186" s="6"/>
      <c r="AR186" s="5"/>
      <c r="AS186" s="21"/>
      <c r="AT186" s="5"/>
      <c r="AU186" s="6"/>
      <c r="AV186" s="5"/>
      <c r="AW186" s="6"/>
      <c r="AX186" s="5"/>
      <c r="AY186" s="21"/>
      <c r="AZ186" s="6"/>
      <c r="BA186" s="6"/>
      <c r="BB186" s="6"/>
      <c r="BC186" s="7" t="str">
        <f t="shared" si="82"/>
        <v/>
      </c>
      <c r="BD186" s="7" t="str">
        <f t="shared" si="83"/>
        <v/>
      </c>
      <c r="BE186" s="4"/>
      <c r="BF186" s="16"/>
      <c r="BG186" s="16" t="str">
        <f t="shared" si="58"/>
        <v/>
      </c>
      <c r="BH186" s="16" t="str">
        <f t="shared" si="59"/>
        <v/>
      </c>
      <c r="BI186" s="16" t="str">
        <f t="shared" si="60"/>
        <v/>
      </c>
      <c r="BJ186" s="16" t="str">
        <f t="shared" si="61"/>
        <v/>
      </c>
      <c r="BK186" t="str">
        <f t="shared" si="62"/>
        <v/>
      </c>
      <c r="BL186" t="str">
        <f t="shared" si="63"/>
        <v/>
      </c>
      <c r="BM186" t="str">
        <f t="shared" si="64"/>
        <v/>
      </c>
      <c r="BN186" t="str">
        <f t="shared" si="65"/>
        <v/>
      </c>
      <c r="BO186" t="str">
        <f t="shared" si="66"/>
        <v/>
      </c>
      <c r="BP186" t="str">
        <f t="shared" si="67"/>
        <v/>
      </c>
      <c r="BQ186" t="str">
        <f t="shared" si="68"/>
        <v/>
      </c>
      <c r="BR186" t="str">
        <f t="shared" si="69"/>
        <v/>
      </c>
      <c r="BS186" t="str">
        <f t="shared" si="70"/>
        <v/>
      </c>
      <c r="BT186" t="str">
        <f t="shared" si="71"/>
        <v/>
      </c>
      <c r="BU186" t="str">
        <f t="shared" si="72"/>
        <v/>
      </c>
      <c r="BV186" t="str">
        <f t="shared" si="73"/>
        <v/>
      </c>
      <c r="BW186" t="str">
        <f t="shared" si="74"/>
        <v/>
      </c>
      <c r="BX186" t="str">
        <f t="shared" si="75"/>
        <v/>
      </c>
      <c r="BY186" t="str">
        <f t="shared" si="76"/>
        <v/>
      </c>
      <c r="BZ186" t="str">
        <f t="shared" si="77"/>
        <v/>
      </c>
      <c r="CA186" t="str">
        <f t="shared" si="78"/>
        <v/>
      </c>
      <c r="CB186" t="str">
        <f t="shared" si="79"/>
        <v/>
      </c>
      <c r="CC186" t="str">
        <f t="shared" si="80"/>
        <v/>
      </c>
      <c r="CD186" t="str">
        <f t="shared" si="81"/>
        <v/>
      </c>
    </row>
    <row r="187" spans="1:82" ht="33.6" customHeight="1" x14ac:dyDescent="0.3">
      <c r="A187" s="4"/>
      <c r="B187" s="4"/>
      <c r="C187" s="4"/>
      <c r="D187" s="5"/>
      <c r="E187" s="6"/>
      <c r="F187" s="5"/>
      <c r="G187" s="6"/>
      <c r="H187" s="5"/>
      <c r="I187" s="21"/>
      <c r="J187" s="5"/>
      <c r="K187" s="6"/>
      <c r="L187" s="5"/>
      <c r="M187" s="6"/>
      <c r="N187" s="5"/>
      <c r="O187" s="6"/>
      <c r="P187" s="5"/>
      <c r="Q187" s="6"/>
      <c r="R187" s="5"/>
      <c r="S187" s="6"/>
      <c r="T187" s="5"/>
      <c r="U187" s="21"/>
      <c r="V187" s="5"/>
      <c r="W187" s="6"/>
      <c r="X187" s="5"/>
      <c r="Y187" s="6"/>
      <c r="Z187" s="5"/>
      <c r="AA187" s="6"/>
      <c r="AB187" s="5"/>
      <c r="AC187" s="6"/>
      <c r="AD187" s="5"/>
      <c r="AE187" s="6"/>
      <c r="AF187" s="5"/>
      <c r="AG187" s="21"/>
      <c r="AH187" s="5"/>
      <c r="AI187" s="6"/>
      <c r="AJ187" s="5"/>
      <c r="AK187" s="6"/>
      <c r="AL187" s="5"/>
      <c r="AM187" s="21"/>
      <c r="AN187" s="5"/>
      <c r="AO187" s="6"/>
      <c r="AP187" s="5"/>
      <c r="AQ187" s="6"/>
      <c r="AR187" s="5"/>
      <c r="AS187" s="21"/>
      <c r="AT187" s="5"/>
      <c r="AU187" s="6"/>
      <c r="AV187" s="5"/>
      <c r="AW187" s="6"/>
      <c r="AX187" s="5"/>
      <c r="AY187" s="21"/>
      <c r="AZ187" s="6"/>
      <c r="BA187" s="6"/>
      <c r="BB187" s="6"/>
      <c r="BC187" s="7" t="str">
        <f t="shared" si="82"/>
        <v/>
      </c>
      <c r="BD187" s="7" t="str">
        <f t="shared" si="83"/>
        <v/>
      </c>
      <c r="BE187" s="4"/>
      <c r="BF187" s="16"/>
      <c r="BG187" s="16" t="str">
        <f t="shared" si="58"/>
        <v/>
      </c>
      <c r="BH187" s="16" t="str">
        <f t="shared" si="59"/>
        <v/>
      </c>
      <c r="BI187" s="16" t="str">
        <f t="shared" si="60"/>
        <v/>
      </c>
      <c r="BJ187" s="16" t="str">
        <f t="shared" si="61"/>
        <v/>
      </c>
      <c r="BK187" t="str">
        <f t="shared" si="62"/>
        <v/>
      </c>
      <c r="BL187" t="str">
        <f t="shared" si="63"/>
        <v/>
      </c>
      <c r="BM187" t="str">
        <f t="shared" si="64"/>
        <v/>
      </c>
      <c r="BN187" t="str">
        <f t="shared" si="65"/>
        <v/>
      </c>
      <c r="BO187" t="str">
        <f t="shared" si="66"/>
        <v/>
      </c>
      <c r="BP187" t="str">
        <f t="shared" si="67"/>
        <v/>
      </c>
      <c r="BQ187" t="str">
        <f t="shared" si="68"/>
        <v/>
      </c>
      <c r="BR187" t="str">
        <f t="shared" si="69"/>
        <v/>
      </c>
      <c r="BS187" t="str">
        <f t="shared" si="70"/>
        <v/>
      </c>
      <c r="BT187" t="str">
        <f t="shared" si="71"/>
        <v/>
      </c>
      <c r="BU187" t="str">
        <f t="shared" si="72"/>
        <v/>
      </c>
      <c r="BV187" t="str">
        <f t="shared" si="73"/>
        <v/>
      </c>
      <c r="BW187" t="str">
        <f t="shared" si="74"/>
        <v/>
      </c>
      <c r="BX187" t="str">
        <f t="shared" si="75"/>
        <v/>
      </c>
      <c r="BY187" t="str">
        <f t="shared" si="76"/>
        <v/>
      </c>
      <c r="BZ187" t="str">
        <f t="shared" si="77"/>
        <v/>
      </c>
      <c r="CA187" t="str">
        <f t="shared" si="78"/>
        <v/>
      </c>
      <c r="CB187" t="str">
        <f t="shared" si="79"/>
        <v/>
      </c>
      <c r="CC187" t="str">
        <f t="shared" si="80"/>
        <v/>
      </c>
      <c r="CD187" t="str">
        <f t="shared" si="81"/>
        <v/>
      </c>
    </row>
    <row r="188" spans="1:82" ht="33.6" customHeight="1" x14ac:dyDescent="0.3">
      <c r="A188" s="4"/>
      <c r="B188" s="4"/>
      <c r="C188" s="4"/>
      <c r="D188" s="5"/>
      <c r="E188" s="6"/>
      <c r="F188" s="5"/>
      <c r="G188" s="6"/>
      <c r="H188" s="5"/>
      <c r="I188" s="21"/>
      <c r="J188" s="5"/>
      <c r="K188" s="6"/>
      <c r="L188" s="5"/>
      <c r="M188" s="6"/>
      <c r="N188" s="5"/>
      <c r="O188" s="6"/>
      <c r="P188" s="5"/>
      <c r="Q188" s="6"/>
      <c r="R188" s="5"/>
      <c r="S188" s="6"/>
      <c r="T188" s="5"/>
      <c r="U188" s="21"/>
      <c r="V188" s="5"/>
      <c r="W188" s="6"/>
      <c r="X188" s="5"/>
      <c r="Y188" s="6"/>
      <c r="Z188" s="5"/>
      <c r="AA188" s="6"/>
      <c r="AB188" s="5"/>
      <c r="AC188" s="6"/>
      <c r="AD188" s="5"/>
      <c r="AE188" s="6"/>
      <c r="AF188" s="5"/>
      <c r="AG188" s="21"/>
      <c r="AH188" s="5"/>
      <c r="AI188" s="6"/>
      <c r="AJ188" s="5"/>
      <c r="AK188" s="6"/>
      <c r="AL188" s="5"/>
      <c r="AM188" s="21"/>
      <c r="AN188" s="5"/>
      <c r="AO188" s="6"/>
      <c r="AP188" s="5"/>
      <c r="AQ188" s="6"/>
      <c r="AR188" s="5"/>
      <c r="AS188" s="21"/>
      <c r="AT188" s="5"/>
      <c r="AU188" s="6"/>
      <c r="AV188" s="5"/>
      <c r="AW188" s="6"/>
      <c r="AX188" s="5"/>
      <c r="AY188" s="21"/>
      <c r="AZ188" s="6"/>
      <c r="BA188" s="6"/>
      <c r="BB188" s="6"/>
      <c r="BC188" s="7" t="str">
        <f t="shared" si="82"/>
        <v/>
      </c>
      <c r="BD188" s="7" t="str">
        <f t="shared" si="83"/>
        <v/>
      </c>
      <c r="BE188" s="4"/>
      <c r="BF188" s="16"/>
      <c r="BG188" s="16" t="str">
        <f t="shared" si="58"/>
        <v/>
      </c>
      <c r="BH188" s="16" t="str">
        <f t="shared" si="59"/>
        <v/>
      </c>
      <c r="BI188" s="16" t="str">
        <f t="shared" si="60"/>
        <v/>
      </c>
      <c r="BJ188" s="16" t="str">
        <f t="shared" si="61"/>
        <v/>
      </c>
      <c r="BK188" t="str">
        <f t="shared" si="62"/>
        <v/>
      </c>
      <c r="BL188" t="str">
        <f t="shared" si="63"/>
        <v/>
      </c>
      <c r="BM188" t="str">
        <f t="shared" si="64"/>
        <v/>
      </c>
      <c r="BN188" t="str">
        <f t="shared" si="65"/>
        <v/>
      </c>
      <c r="BO188" t="str">
        <f t="shared" si="66"/>
        <v/>
      </c>
      <c r="BP188" t="str">
        <f t="shared" si="67"/>
        <v/>
      </c>
      <c r="BQ188" t="str">
        <f t="shared" si="68"/>
        <v/>
      </c>
      <c r="BR188" t="str">
        <f t="shared" si="69"/>
        <v/>
      </c>
      <c r="BS188" t="str">
        <f t="shared" si="70"/>
        <v/>
      </c>
      <c r="BT188" t="str">
        <f t="shared" si="71"/>
        <v/>
      </c>
      <c r="BU188" t="str">
        <f t="shared" si="72"/>
        <v/>
      </c>
      <c r="BV188" t="str">
        <f t="shared" si="73"/>
        <v/>
      </c>
      <c r="BW188" t="str">
        <f t="shared" si="74"/>
        <v/>
      </c>
      <c r="BX188" t="str">
        <f t="shared" si="75"/>
        <v/>
      </c>
      <c r="BY188" t="str">
        <f t="shared" si="76"/>
        <v/>
      </c>
      <c r="BZ188" t="str">
        <f t="shared" si="77"/>
        <v/>
      </c>
      <c r="CA188" t="str">
        <f t="shared" si="78"/>
        <v/>
      </c>
      <c r="CB188" t="str">
        <f t="shared" si="79"/>
        <v/>
      </c>
      <c r="CC188" t="str">
        <f t="shared" si="80"/>
        <v/>
      </c>
      <c r="CD188" t="str">
        <f t="shared" si="81"/>
        <v/>
      </c>
    </row>
    <row r="189" spans="1:82" ht="33.6" customHeight="1" x14ac:dyDescent="0.3">
      <c r="A189" s="4"/>
      <c r="B189" s="4"/>
      <c r="C189" s="4"/>
      <c r="D189" s="5"/>
      <c r="E189" s="6"/>
      <c r="F189" s="5"/>
      <c r="G189" s="6"/>
      <c r="H189" s="5"/>
      <c r="I189" s="21"/>
      <c r="J189" s="5"/>
      <c r="K189" s="6"/>
      <c r="L189" s="5"/>
      <c r="M189" s="6"/>
      <c r="N189" s="5"/>
      <c r="O189" s="6"/>
      <c r="P189" s="5"/>
      <c r="Q189" s="6"/>
      <c r="R189" s="5"/>
      <c r="S189" s="6"/>
      <c r="T189" s="5"/>
      <c r="U189" s="21"/>
      <c r="V189" s="5"/>
      <c r="W189" s="6"/>
      <c r="X189" s="5"/>
      <c r="Y189" s="6"/>
      <c r="Z189" s="5"/>
      <c r="AA189" s="6"/>
      <c r="AB189" s="5"/>
      <c r="AC189" s="6"/>
      <c r="AD189" s="5"/>
      <c r="AE189" s="6"/>
      <c r="AF189" s="5"/>
      <c r="AG189" s="21"/>
      <c r="AH189" s="5"/>
      <c r="AI189" s="6"/>
      <c r="AJ189" s="5"/>
      <c r="AK189" s="6"/>
      <c r="AL189" s="5"/>
      <c r="AM189" s="21"/>
      <c r="AN189" s="5"/>
      <c r="AO189" s="6"/>
      <c r="AP189" s="5"/>
      <c r="AQ189" s="6"/>
      <c r="AR189" s="5"/>
      <c r="AS189" s="21"/>
      <c r="AT189" s="5"/>
      <c r="AU189" s="6"/>
      <c r="AV189" s="5"/>
      <c r="AW189" s="6"/>
      <c r="AX189" s="5"/>
      <c r="AY189" s="21"/>
      <c r="AZ189" s="6"/>
      <c r="BA189" s="6"/>
      <c r="BB189" s="6"/>
      <c r="BC189" s="7" t="str">
        <f t="shared" si="82"/>
        <v/>
      </c>
      <c r="BD189" s="7" t="str">
        <f t="shared" si="83"/>
        <v/>
      </c>
      <c r="BE189" s="4"/>
      <c r="BF189" s="16"/>
      <c r="BG189" s="16" t="str">
        <f t="shared" si="58"/>
        <v/>
      </c>
      <c r="BH189" s="16" t="str">
        <f t="shared" si="59"/>
        <v/>
      </c>
      <c r="BI189" s="16" t="str">
        <f t="shared" si="60"/>
        <v/>
      </c>
      <c r="BJ189" s="16" t="str">
        <f t="shared" si="61"/>
        <v/>
      </c>
      <c r="BK189" t="str">
        <f t="shared" si="62"/>
        <v/>
      </c>
      <c r="BL189" t="str">
        <f t="shared" si="63"/>
        <v/>
      </c>
      <c r="BM189" t="str">
        <f t="shared" si="64"/>
        <v/>
      </c>
      <c r="BN189" t="str">
        <f t="shared" si="65"/>
        <v/>
      </c>
      <c r="BO189" t="str">
        <f t="shared" si="66"/>
        <v/>
      </c>
      <c r="BP189" t="str">
        <f t="shared" si="67"/>
        <v/>
      </c>
      <c r="BQ189" t="str">
        <f t="shared" si="68"/>
        <v/>
      </c>
      <c r="BR189" t="str">
        <f t="shared" si="69"/>
        <v/>
      </c>
      <c r="BS189" t="str">
        <f t="shared" si="70"/>
        <v/>
      </c>
      <c r="BT189" t="str">
        <f t="shared" si="71"/>
        <v/>
      </c>
      <c r="BU189" t="str">
        <f t="shared" si="72"/>
        <v/>
      </c>
      <c r="BV189" t="str">
        <f t="shared" si="73"/>
        <v/>
      </c>
      <c r="BW189" t="str">
        <f t="shared" si="74"/>
        <v/>
      </c>
      <c r="BX189" t="str">
        <f t="shared" si="75"/>
        <v/>
      </c>
      <c r="BY189" t="str">
        <f t="shared" si="76"/>
        <v/>
      </c>
      <c r="BZ189" t="str">
        <f t="shared" si="77"/>
        <v/>
      </c>
      <c r="CA189" t="str">
        <f t="shared" si="78"/>
        <v/>
      </c>
      <c r="CB189" t="str">
        <f t="shared" si="79"/>
        <v/>
      </c>
      <c r="CC189" t="str">
        <f t="shared" si="80"/>
        <v/>
      </c>
      <c r="CD189" t="str">
        <f t="shared" si="81"/>
        <v/>
      </c>
    </row>
    <row r="190" spans="1:82" ht="33.6" customHeight="1" x14ac:dyDescent="0.3">
      <c r="A190" s="4"/>
      <c r="B190" s="4"/>
      <c r="C190" s="4"/>
      <c r="D190" s="5"/>
      <c r="E190" s="6"/>
      <c r="F190" s="5"/>
      <c r="G190" s="6"/>
      <c r="H190" s="5"/>
      <c r="I190" s="21"/>
      <c r="J190" s="5"/>
      <c r="K190" s="6"/>
      <c r="L190" s="5"/>
      <c r="M190" s="6"/>
      <c r="N190" s="5"/>
      <c r="O190" s="6"/>
      <c r="P190" s="5"/>
      <c r="Q190" s="6"/>
      <c r="R190" s="5"/>
      <c r="S190" s="6"/>
      <c r="T190" s="5"/>
      <c r="U190" s="21"/>
      <c r="V190" s="5"/>
      <c r="W190" s="6"/>
      <c r="X190" s="5"/>
      <c r="Y190" s="6"/>
      <c r="Z190" s="5"/>
      <c r="AA190" s="6"/>
      <c r="AB190" s="5"/>
      <c r="AC190" s="6"/>
      <c r="AD190" s="5"/>
      <c r="AE190" s="6"/>
      <c r="AF190" s="5"/>
      <c r="AG190" s="21"/>
      <c r="AH190" s="5"/>
      <c r="AI190" s="6"/>
      <c r="AJ190" s="5"/>
      <c r="AK190" s="6"/>
      <c r="AL190" s="5"/>
      <c r="AM190" s="21"/>
      <c r="AN190" s="5"/>
      <c r="AO190" s="6"/>
      <c r="AP190" s="5"/>
      <c r="AQ190" s="6"/>
      <c r="AR190" s="5"/>
      <c r="AS190" s="21"/>
      <c r="AT190" s="5"/>
      <c r="AU190" s="6"/>
      <c r="AV190" s="5"/>
      <c r="AW190" s="6"/>
      <c r="AX190" s="5"/>
      <c r="AY190" s="21"/>
      <c r="AZ190" s="6"/>
      <c r="BA190" s="6"/>
      <c r="BB190" s="6"/>
      <c r="BC190" s="7" t="str">
        <f t="shared" si="82"/>
        <v/>
      </c>
      <c r="BD190" s="7" t="str">
        <f t="shared" si="83"/>
        <v/>
      </c>
      <c r="BE190" s="4"/>
      <c r="BF190" s="16"/>
      <c r="BG190" s="16" t="str">
        <f t="shared" si="58"/>
        <v/>
      </c>
      <c r="BH190" s="16" t="str">
        <f t="shared" si="59"/>
        <v/>
      </c>
      <c r="BI190" s="16" t="str">
        <f t="shared" si="60"/>
        <v/>
      </c>
      <c r="BJ190" s="16" t="str">
        <f t="shared" si="61"/>
        <v/>
      </c>
      <c r="BK190" t="str">
        <f t="shared" si="62"/>
        <v/>
      </c>
      <c r="BL190" t="str">
        <f t="shared" si="63"/>
        <v/>
      </c>
      <c r="BM190" t="str">
        <f t="shared" si="64"/>
        <v/>
      </c>
      <c r="BN190" t="str">
        <f t="shared" si="65"/>
        <v/>
      </c>
      <c r="BO190" t="str">
        <f t="shared" si="66"/>
        <v/>
      </c>
      <c r="BP190" t="str">
        <f t="shared" si="67"/>
        <v/>
      </c>
      <c r="BQ190" t="str">
        <f t="shared" si="68"/>
        <v/>
      </c>
      <c r="BR190" t="str">
        <f t="shared" si="69"/>
        <v/>
      </c>
      <c r="BS190" t="str">
        <f t="shared" si="70"/>
        <v/>
      </c>
      <c r="BT190" t="str">
        <f t="shared" si="71"/>
        <v/>
      </c>
      <c r="BU190" t="str">
        <f t="shared" si="72"/>
        <v/>
      </c>
      <c r="BV190" t="str">
        <f t="shared" si="73"/>
        <v/>
      </c>
      <c r="BW190" t="str">
        <f t="shared" si="74"/>
        <v/>
      </c>
      <c r="BX190" t="str">
        <f t="shared" si="75"/>
        <v/>
      </c>
      <c r="BY190" t="str">
        <f t="shared" si="76"/>
        <v/>
      </c>
      <c r="BZ190" t="str">
        <f t="shared" si="77"/>
        <v/>
      </c>
      <c r="CA190" t="str">
        <f t="shared" si="78"/>
        <v/>
      </c>
      <c r="CB190" t="str">
        <f t="shared" si="79"/>
        <v/>
      </c>
      <c r="CC190" t="str">
        <f t="shared" si="80"/>
        <v/>
      </c>
      <c r="CD190" t="str">
        <f t="shared" si="81"/>
        <v/>
      </c>
    </row>
    <row r="191" spans="1:82" ht="33.6" customHeight="1" x14ac:dyDescent="0.3">
      <c r="A191" s="4"/>
      <c r="B191" s="4"/>
      <c r="C191" s="4"/>
      <c r="D191" s="5"/>
      <c r="E191" s="6"/>
      <c r="F191" s="5"/>
      <c r="G191" s="6"/>
      <c r="H191" s="5"/>
      <c r="I191" s="21"/>
      <c r="J191" s="5"/>
      <c r="K191" s="6"/>
      <c r="L191" s="5"/>
      <c r="M191" s="6"/>
      <c r="N191" s="5"/>
      <c r="O191" s="6"/>
      <c r="P191" s="5"/>
      <c r="Q191" s="6"/>
      <c r="R191" s="5"/>
      <c r="S191" s="6"/>
      <c r="T191" s="5"/>
      <c r="U191" s="21"/>
      <c r="V191" s="5"/>
      <c r="W191" s="6"/>
      <c r="X191" s="5"/>
      <c r="Y191" s="6"/>
      <c r="Z191" s="5"/>
      <c r="AA191" s="6"/>
      <c r="AB191" s="5"/>
      <c r="AC191" s="6"/>
      <c r="AD191" s="5"/>
      <c r="AE191" s="6"/>
      <c r="AF191" s="5"/>
      <c r="AG191" s="21"/>
      <c r="AH191" s="5"/>
      <c r="AI191" s="6"/>
      <c r="AJ191" s="5"/>
      <c r="AK191" s="6"/>
      <c r="AL191" s="5"/>
      <c r="AM191" s="21"/>
      <c r="AN191" s="5"/>
      <c r="AO191" s="6"/>
      <c r="AP191" s="5"/>
      <c r="AQ191" s="6"/>
      <c r="AR191" s="5"/>
      <c r="AS191" s="21"/>
      <c r="AT191" s="5"/>
      <c r="AU191" s="6"/>
      <c r="AV191" s="5"/>
      <c r="AW191" s="6"/>
      <c r="AX191" s="5"/>
      <c r="AY191" s="21"/>
      <c r="AZ191" s="6"/>
      <c r="BA191" s="6"/>
      <c r="BB191" s="6"/>
      <c r="BC191" s="7" t="str">
        <f t="shared" si="82"/>
        <v/>
      </c>
      <c r="BD191" s="7" t="str">
        <f t="shared" si="83"/>
        <v/>
      </c>
      <c r="BE191" s="4"/>
      <c r="BF191" s="16"/>
      <c r="BG191" s="16" t="str">
        <f t="shared" si="58"/>
        <v/>
      </c>
      <c r="BH191" s="16" t="str">
        <f t="shared" si="59"/>
        <v/>
      </c>
      <c r="BI191" s="16" t="str">
        <f t="shared" si="60"/>
        <v/>
      </c>
      <c r="BJ191" s="16" t="str">
        <f t="shared" si="61"/>
        <v/>
      </c>
      <c r="BK191" t="str">
        <f t="shared" si="62"/>
        <v/>
      </c>
      <c r="BL191" t="str">
        <f t="shared" si="63"/>
        <v/>
      </c>
      <c r="BM191" t="str">
        <f t="shared" si="64"/>
        <v/>
      </c>
      <c r="BN191" t="str">
        <f t="shared" si="65"/>
        <v/>
      </c>
      <c r="BO191" t="str">
        <f t="shared" si="66"/>
        <v/>
      </c>
      <c r="BP191" t="str">
        <f t="shared" si="67"/>
        <v/>
      </c>
      <c r="BQ191" t="str">
        <f t="shared" si="68"/>
        <v/>
      </c>
      <c r="BR191" t="str">
        <f t="shared" si="69"/>
        <v/>
      </c>
      <c r="BS191" t="str">
        <f t="shared" si="70"/>
        <v/>
      </c>
      <c r="BT191" t="str">
        <f t="shared" si="71"/>
        <v/>
      </c>
      <c r="BU191" t="str">
        <f t="shared" si="72"/>
        <v/>
      </c>
      <c r="BV191" t="str">
        <f t="shared" si="73"/>
        <v/>
      </c>
      <c r="BW191" t="str">
        <f t="shared" si="74"/>
        <v/>
      </c>
      <c r="BX191" t="str">
        <f t="shared" si="75"/>
        <v/>
      </c>
      <c r="BY191" t="str">
        <f t="shared" si="76"/>
        <v/>
      </c>
      <c r="BZ191" t="str">
        <f t="shared" si="77"/>
        <v/>
      </c>
      <c r="CA191" t="str">
        <f t="shared" si="78"/>
        <v/>
      </c>
      <c r="CB191" t="str">
        <f t="shared" si="79"/>
        <v/>
      </c>
      <c r="CC191" t="str">
        <f t="shared" si="80"/>
        <v/>
      </c>
      <c r="CD191" t="str">
        <f t="shared" si="81"/>
        <v/>
      </c>
    </row>
    <row r="192" spans="1:82" ht="33.6" customHeight="1" x14ac:dyDescent="0.3">
      <c r="A192" s="4"/>
      <c r="B192" s="4"/>
      <c r="C192" s="4"/>
      <c r="D192" s="5"/>
      <c r="E192" s="6"/>
      <c r="F192" s="5"/>
      <c r="G192" s="6"/>
      <c r="H192" s="5"/>
      <c r="I192" s="21"/>
      <c r="J192" s="5"/>
      <c r="K192" s="6"/>
      <c r="L192" s="5"/>
      <c r="M192" s="6"/>
      <c r="N192" s="5"/>
      <c r="O192" s="6"/>
      <c r="P192" s="5"/>
      <c r="Q192" s="6"/>
      <c r="R192" s="5"/>
      <c r="S192" s="6"/>
      <c r="T192" s="5"/>
      <c r="U192" s="21"/>
      <c r="V192" s="5"/>
      <c r="W192" s="6"/>
      <c r="X192" s="5"/>
      <c r="Y192" s="6"/>
      <c r="Z192" s="5"/>
      <c r="AA192" s="6"/>
      <c r="AB192" s="5"/>
      <c r="AC192" s="6"/>
      <c r="AD192" s="5"/>
      <c r="AE192" s="6"/>
      <c r="AF192" s="5"/>
      <c r="AG192" s="21"/>
      <c r="AH192" s="5"/>
      <c r="AI192" s="6"/>
      <c r="AJ192" s="5"/>
      <c r="AK192" s="6"/>
      <c r="AL192" s="5"/>
      <c r="AM192" s="21"/>
      <c r="AN192" s="5"/>
      <c r="AO192" s="6"/>
      <c r="AP192" s="5"/>
      <c r="AQ192" s="6"/>
      <c r="AR192" s="5"/>
      <c r="AS192" s="21"/>
      <c r="AT192" s="5"/>
      <c r="AU192" s="6"/>
      <c r="AV192" s="5"/>
      <c r="AW192" s="6"/>
      <c r="AX192" s="5"/>
      <c r="AY192" s="21"/>
      <c r="AZ192" s="6"/>
      <c r="BA192" s="6"/>
      <c r="BB192" s="6"/>
      <c r="BC192" s="7" t="str">
        <f t="shared" si="82"/>
        <v/>
      </c>
      <c r="BD192" s="7" t="str">
        <f t="shared" si="83"/>
        <v/>
      </c>
      <c r="BE192" s="4"/>
      <c r="BF192" s="16"/>
      <c r="BG192" s="16" t="str">
        <f t="shared" si="58"/>
        <v/>
      </c>
      <c r="BH192" s="16" t="str">
        <f t="shared" si="59"/>
        <v/>
      </c>
      <c r="BI192" s="16" t="str">
        <f t="shared" si="60"/>
        <v/>
      </c>
      <c r="BJ192" s="16" t="str">
        <f t="shared" si="61"/>
        <v/>
      </c>
      <c r="BK192" t="str">
        <f t="shared" si="62"/>
        <v/>
      </c>
      <c r="BL192" t="str">
        <f t="shared" si="63"/>
        <v/>
      </c>
      <c r="BM192" t="str">
        <f t="shared" si="64"/>
        <v/>
      </c>
      <c r="BN192" t="str">
        <f t="shared" si="65"/>
        <v/>
      </c>
      <c r="BO192" t="str">
        <f t="shared" si="66"/>
        <v/>
      </c>
      <c r="BP192" t="str">
        <f t="shared" si="67"/>
        <v/>
      </c>
      <c r="BQ192" t="str">
        <f t="shared" si="68"/>
        <v/>
      </c>
      <c r="BR192" t="str">
        <f t="shared" si="69"/>
        <v/>
      </c>
      <c r="BS192" t="str">
        <f t="shared" si="70"/>
        <v/>
      </c>
      <c r="BT192" t="str">
        <f t="shared" si="71"/>
        <v/>
      </c>
      <c r="BU192" t="str">
        <f t="shared" si="72"/>
        <v/>
      </c>
      <c r="BV192" t="str">
        <f t="shared" si="73"/>
        <v/>
      </c>
      <c r="BW192" t="str">
        <f t="shared" si="74"/>
        <v/>
      </c>
      <c r="BX192" t="str">
        <f t="shared" si="75"/>
        <v/>
      </c>
      <c r="BY192" t="str">
        <f t="shared" si="76"/>
        <v/>
      </c>
      <c r="BZ192" t="str">
        <f t="shared" si="77"/>
        <v/>
      </c>
      <c r="CA192" t="str">
        <f t="shared" si="78"/>
        <v/>
      </c>
      <c r="CB192" t="str">
        <f t="shared" si="79"/>
        <v/>
      </c>
      <c r="CC192" t="str">
        <f t="shared" si="80"/>
        <v/>
      </c>
      <c r="CD192" t="str">
        <f t="shared" si="81"/>
        <v/>
      </c>
    </row>
    <row r="193" spans="1:82" ht="33.6" customHeight="1" x14ac:dyDescent="0.3">
      <c r="A193" s="4"/>
      <c r="B193" s="4"/>
      <c r="C193" s="4"/>
      <c r="D193" s="5"/>
      <c r="E193" s="6"/>
      <c r="F193" s="5"/>
      <c r="G193" s="6"/>
      <c r="H193" s="5"/>
      <c r="I193" s="21"/>
      <c r="J193" s="5"/>
      <c r="K193" s="6"/>
      <c r="L193" s="5"/>
      <c r="M193" s="6"/>
      <c r="N193" s="5"/>
      <c r="O193" s="6"/>
      <c r="P193" s="5"/>
      <c r="Q193" s="6"/>
      <c r="R193" s="5"/>
      <c r="S193" s="6"/>
      <c r="T193" s="5"/>
      <c r="U193" s="21"/>
      <c r="V193" s="5"/>
      <c r="W193" s="6"/>
      <c r="X193" s="5"/>
      <c r="Y193" s="6"/>
      <c r="Z193" s="5"/>
      <c r="AA193" s="6"/>
      <c r="AB193" s="5"/>
      <c r="AC193" s="6"/>
      <c r="AD193" s="5"/>
      <c r="AE193" s="6"/>
      <c r="AF193" s="5"/>
      <c r="AG193" s="21"/>
      <c r="AH193" s="5"/>
      <c r="AI193" s="6"/>
      <c r="AJ193" s="5"/>
      <c r="AK193" s="6"/>
      <c r="AL193" s="5"/>
      <c r="AM193" s="21"/>
      <c r="AN193" s="5"/>
      <c r="AO193" s="6"/>
      <c r="AP193" s="5"/>
      <c r="AQ193" s="6"/>
      <c r="AR193" s="5"/>
      <c r="AS193" s="21"/>
      <c r="AT193" s="5"/>
      <c r="AU193" s="6"/>
      <c r="AV193" s="5"/>
      <c r="AW193" s="6"/>
      <c r="AX193" s="5"/>
      <c r="AY193" s="21"/>
      <c r="AZ193" s="6"/>
      <c r="BA193" s="6"/>
      <c r="BB193" s="6"/>
      <c r="BC193" s="7" t="str">
        <f t="shared" si="82"/>
        <v/>
      </c>
      <c r="BD193" s="7" t="str">
        <f t="shared" si="83"/>
        <v/>
      </c>
      <c r="BE193" s="4"/>
      <c r="BF193" s="16"/>
      <c r="BG193" s="16" t="str">
        <f t="shared" si="58"/>
        <v/>
      </c>
      <c r="BH193" s="16" t="str">
        <f t="shared" si="59"/>
        <v/>
      </c>
      <c r="BI193" s="16" t="str">
        <f t="shared" si="60"/>
        <v/>
      </c>
      <c r="BJ193" s="16" t="str">
        <f t="shared" si="61"/>
        <v/>
      </c>
      <c r="BK193" t="str">
        <f t="shared" si="62"/>
        <v/>
      </c>
      <c r="BL193" t="str">
        <f t="shared" si="63"/>
        <v/>
      </c>
      <c r="BM193" t="str">
        <f t="shared" si="64"/>
        <v/>
      </c>
      <c r="BN193" t="str">
        <f t="shared" si="65"/>
        <v/>
      </c>
      <c r="BO193" t="str">
        <f t="shared" si="66"/>
        <v/>
      </c>
      <c r="BP193" t="str">
        <f t="shared" si="67"/>
        <v/>
      </c>
      <c r="BQ193" t="str">
        <f t="shared" si="68"/>
        <v/>
      </c>
      <c r="BR193" t="str">
        <f t="shared" si="69"/>
        <v/>
      </c>
      <c r="BS193" t="str">
        <f t="shared" si="70"/>
        <v/>
      </c>
      <c r="BT193" t="str">
        <f t="shared" si="71"/>
        <v/>
      </c>
      <c r="BU193" t="str">
        <f t="shared" si="72"/>
        <v/>
      </c>
      <c r="BV193" t="str">
        <f t="shared" si="73"/>
        <v/>
      </c>
      <c r="BW193" t="str">
        <f t="shared" si="74"/>
        <v/>
      </c>
      <c r="BX193" t="str">
        <f t="shared" si="75"/>
        <v/>
      </c>
      <c r="BY193" t="str">
        <f t="shared" si="76"/>
        <v/>
      </c>
      <c r="BZ193" t="str">
        <f t="shared" si="77"/>
        <v/>
      </c>
      <c r="CA193" t="str">
        <f t="shared" si="78"/>
        <v/>
      </c>
      <c r="CB193" t="str">
        <f t="shared" si="79"/>
        <v/>
      </c>
      <c r="CC193" t="str">
        <f t="shared" si="80"/>
        <v/>
      </c>
      <c r="CD193" t="str">
        <f t="shared" si="81"/>
        <v/>
      </c>
    </row>
    <row r="194" spans="1:82" ht="33.6" customHeight="1" x14ac:dyDescent="0.3">
      <c r="A194" s="4"/>
      <c r="B194" s="4"/>
      <c r="C194" s="4"/>
      <c r="D194" s="5"/>
      <c r="E194" s="6"/>
      <c r="F194" s="5"/>
      <c r="G194" s="6"/>
      <c r="H194" s="5"/>
      <c r="I194" s="21"/>
      <c r="J194" s="5"/>
      <c r="K194" s="6"/>
      <c r="L194" s="5"/>
      <c r="M194" s="6"/>
      <c r="N194" s="5"/>
      <c r="O194" s="6"/>
      <c r="P194" s="5"/>
      <c r="Q194" s="6"/>
      <c r="R194" s="5"/>
      <c r="S194" s="6"/>
      <c r="T194" s="5"/>
      <c r="U194" s="21"/>
      <c r="V194" s="5"/>
      <c r="W194" s="6"/>
      <c r="X194" s="5"/>
      <c r="Y194" s="6"/>
      <c r="Z194" s="5"/>
      <c r="AA194" s="6"/>
      <c r="AB194" s="5"/>
      <c r="AC194" s="6"/>
      <c r="AD194" s="5"/>
      <c r="AE194" s="6"/>
      <c r="AF194" s="5"/>
      <c r="AG194" s="21"/>
      <c r="AH194" s="5"/>
      <c r="AI194" s="6"/>
      <c r="AJ194" s="5"/>
      <c r="AK194" s="6"/>
      <c r="AL194" s="5"/>
      <c r="AM194" s="21"/>
      <c r="AN194" s="5"/>
      <c r="AO194" s="6"/>
      <c r="AP194" s="5"/>
      <c r="AQ194" s="6"/>
      <c r="AR194" s="5"/>
      <c r="AS194" s="21"/>
      <c r="AT194" s="5"/>
      <c r="AU194" s="6"/>
      <c r="AV194" s="5"/>
      <c r="AW194" s="6"/>
      <c r="AX194" s="5"/>
      <c r="AY194" s="21"/>
      <c r="AZ194" s="6"/>
      <c r="BA194" s="6"/>
      <c r="BB194" s="6"/>
      <c r="BC194" s="7" t="str">
        <f t="shared" si="82"/>
        <v/>
      </c>
      <c r="BD194" s="7" t="str">
        <f t="shared" si="83"/>
        <v/>
      </c>
      <c r="BE194" s="4"/>
      <c r="BF194" s="16"/>
      <c r="BG194" s="16" t="str">
        <f t="shared" si="58"/>
        <v/>
      </c>
      <c r="BH194" s="16" t="str">
        <f t="shared" si="59"/>
        <v/>
      </c>
      <c r="BI194" s="16" t="str">
        <f t="shared" si="60"/>
        <v/>
      </c>
      <c r="BJ194" s="16" t="str">
        <f t="shared" si="61"/>
        <v/>
      </c>
      <c r="BK194" t="str">
        <f t="shared" si="62"/>
        <v/>
      </c>
      <c r="BL194" t="str">
        <f t="shared" si="63"/>
        <v/>
      </c>
      <c r="BM194" t="str">
        <f t="shared" si="64"/>
        <v/>
      </c>
      <c r="BN194" t="str">
        <f t="shared" si="65"/>
        <v/>
      </c>
      <c r="BO194" t="str">
        <f t="shared" si="66"/>
        <v/>
      </c>
      <c r="BP194" t="str">
        <f t="shared" si="67"/>
        <v/>
      </c>
      <c r="BQ194" t="str">
        <f t="shared" si="68"/>
        <v/>
      </c>
      <c r="BR194" t="str">
        <f t="shared" si="69"/>
        <v/>
      </c>
      <c r="BS194" t="str">
        <f t="shared" si="70"/>
        <v/>
      </c>
      <c r="BT194" t="str">
        <f t="shared" si="71"/>
        <v/>
      </c>
      <c r="BU194" t="str">
        <f t="shared" si="72"/>
        <v/>
      </c>
      <c r="BV194" t="str">
        <f t="shared" si="73"/>
        <v/>
      </c>
      <c r="BW194" t="str">
        <f t="shared" si="74"/>
        <v/>
      </c>
      <c r="BX194" t="str">
        <f t="shared" si="75"/>
        <v/>
      </c>
      <c r="BY194" t="str">
        <f t="shared" si="76"/>
        <v/>
      </c>
      <c r="BZ194" t="str">
        <f t="shared" si="77"/>
        <v/>
      </c>
      <c r="CA194" t="str">
        <f t="shared" si="78"/>
        <v/>
      </c>
      <c r="CB194" t="str">
        <f t="shared" si="79"/>
        <v/>
      </c>
      <c r="CC194" t="str">
        <f t="shared" si="80"/>
        <v/>
      </c>
      <c r="CD194" t="str">
        <f t="shared" si="81"/>
        <v/>
      </c>
    </row>
    <row r="195" spans="1:82" ht="33.6" customHeight="1" x14ac:dyDescent="0.3">
      <c r="A195" s="4"/>
      <c r="B195" s="4"/>
      <c r="C195" s="4"/>
      <c r="D195" s="5"/>
      <c r="E195" s="6"/>
      <c r="F195" s="5"/>
      <c r="G195" s="6"/>
      <c r="H195" s="5"/>
      <c r="I195" s="21"/>
      <c r="J195" s="5"/>
      <c r="K195" s="6"/>
      <c r="L195" s="5"/>
      <c r="M195" s="6"/>
      <c r="N195" s="5"/>
      <c r="O195" s="6"/>
      <c r="P195" s="5"/>
      <c r="Q195" s="6"/>
      <c r="R195" s="5"/>
      <c r="S195" s="6"/>
      <c r="T195" s="5"/>
      <c r="U195" s="21"/>
      <c r="V195" s="5"/>
      <c r="W195" s="6"/>
      <c r="X195" s="5"/>
      <c r="Y195" s="6"/>
      <c r="Z195" s="5"/>
      <c r="AA195" s="6"/>
      <c r="AB195" s="5"/>
      <c r="AC195" s="6"/>
      <c r="AD195" s="5"/>
      <c r="AE195" s="6"/>
      <c r="AF195" s="5"/>
      <c r="AG195" s="21"/>
      <c r="AH195" s="5"/>
      <c r="AI195" s="6"/>
      <c r="AJ195" s="5"/>
      <c r="AK195" s="6"/>
      <c r="AL195" s="5"/>
      <c r="AM195" s="21"/>
      <c r="AN195" s="5"/>
      <c r="AO195" s="6"/>
      <c r="AP195" s="5"/>
      <c r="AQ195" s="6"/>
      <c r="AR195" s="5"/>
      <c r="AS195" s="21"/>
      <c r="AT195" s="5"/>
      <c r="AU195" s="6"/>
      <c r="AV195" s="5"/>
      <c r="AW195" s="6"/>
      <c r="AX195" s="5"/>
      <c r="AY195" s="21"/>
      <c r="AZ195" s="6"/>
      <c r="BA195" s="6"/>
      <c r="BB195" s="6"/>
      <c r="BC195" s="7" t="str">
        <f t="shared" si="82"/>
        <v/>
      </c>
      <c r="BD195" s="7" t="str">
        <f t="shared" si="83"/>
        <v/>
      </c>
      <c r="BE195" s="4"/>
      <c r="BF195" s="16"/>
      <c r="BG195" s="16" t="str">
        <f t="shared" si="58"/>
        <v/>
      </c>
      <c r="BH195" s="16" t="str">
        <f t="shared" si="59"/>
        <v/>
      </c>
      <c r="BI195" s="16" t="str">
        <f t="shared" si="60"/>
        <v/>
      </c>
      <c r="BJ195" s="16" t="str">
        <f t="shared" si="61"/>
        <v/>
      </c>
      <c r="BK195" t="str">
        <f t="shared" si="62"/>
        <v/>
      </c>
      <c r="BL195" t="str">
        <f t="shared" si="63"/>
        <v/>
      </c>
      <c r="BM195" t="str">
        <f t="shared" si="64"/>
        <v/>
      </c>
      <c r="BN195" t="str">
        <f t="shared" si="65"/>
        <v/>
      </c>
      <c r="BO195" t="str">
        <f t="shared" si="66"/>
        <v/>
      </c>
      <c r="BP195" t="str">
        <f t="shared" si="67"/>
        <v/>
      </c>
      <c r="BQ195" t="str">
        <f t="shared" si="68"/>
        <v/>
      </c>
      <c r="BR195" t="str">
        <f t="shared" si="69"/>
        <v/>
      </c>
      <c r="BS195" t="str">
        <f t="shared" si="70"/>
        <v/>
      </c>
      <c r="BT195" t="str">
        <f t="shared" si="71"/>
        <v/>
      </c>
      <c r="BU195" t="str">
        <f t="shared" si="72"/>
        <v/>
      </c>
      <c r="BV195" t="str">
        <f t="shared" si="73"/>
        <v/>
      </c>
      <c r="BW195" t="str">
        <f t="shared" si="74"/>
        <v/>
      </c>
      <c r="BX195" t="str">
        <f t="shared" si="75"/>
        <v/>
      </c>
      <c r="BY195" t="str">
        <f t="shared" si="76"/>
        <v/>
      </c>
      <c r="BZ195" t="str">
        <f t="shared" si="77"/>
        <v/>
      </c>
      <c r="CA195" t="str">
        <f t="shared" si="78"/>
        <v/>
      </c>
      <c r="CB195" t="str">
        <f t="shared" si="79"/>
        <v/>
      </c>
      <c r="CC195" t="str">
        <f t="shared" si="80"/>
        <v/>
      </c>
      <c r="CD195" t="str">
        <f t="shared" si="81"/>
        <v/>
      </c>
    </row>
    <row r="196" spans="1:82" ht="33.6" customHeight="1" x14ac:dyDescent="0.3">
      <c r="A196" s="4"/>
      <c r="B196" s="4"/>
      <c r="C196" s="4"/>
      <c r="D196" s="5"/>
      <c r="E196" s="6"/>
      <c r="F196" s="5"/>
      <c r="G196" s="6"/>
      <c r="H196" s="5"/>
      <c r="I196" s="21"/>
      <c r="J196" s="5"/>
      <c r="K196" s="6"/>
      <c r="L196" s="5"/>
      <c r="M196" s="6"/>
      <c r="N196" s="5"/>
      <c r="O196" s="6"/>
      <c r="P196" s="5"/>
      <c r="Q196" s="6"/>
      <c r="R196" s="5"/>
      <c r="S196" s="6"/>
      <c r="T196" s="5"/>
      <c r="U196" s="21"/>
      <c r="V196" s="5"/>
      <c r="W196" s="6"/>
      <c r="X196" s="5"/>
      <c r="Y196" s="6"/>
      <c r="Z196" s="5"/>
      <c r="AA196" s="6"/>
      <c r="AB196" s="5"/>
      <c r="AC196" s="6"/>
      <c r="AD196" s="5"/>
      <c r="AE196" s="6"/>
      <c r="AF196" s="5"/>
      <c r="AG196" s="21"/>
      <c r="AH196" s="5"/>
      <c r="AI196" s="6"/>
      <c r="AJ196" s="5"/>
      <c r="AK196" s="6"/>
      <c r="AL196" s="5"/>
      <c r="AM196" s="21"/>
      <c r="AN196" s="5"/>
      <c r="AO196" s="6"/>
      <c r="AP196" s="5"/>
      <c r="AQ196" s="6"/>
      <c r="AR196" s="5"/>
      <c r="AS196" s="21"/>
      <c r="AT196" s="5"/>
      <c r="AU196" s="6"/>
      <c r="AV196" s="5"/>
      <c r="AW196" s="6"/>
      <c r="AX196" s="5"/>
      <c r="AY196" s="21"/>
      <c r="AZ196" s="6"/>
      <c r="BA196" s="6"/>
      <c r="BB196" s="6"/>
      <c r="BC196" s="7" t="str">
        <f t="shared" si="82"/>
        <v/>
      </c>
      <c r="BD196" s="7" t="str">
        <f t="shared" ref="BD196:BD200" si="84">IF(BC196="","",IF(BC196&gt;=85,"A",IF(BC196&gt;=70,"B",IF(BC196&gt;=50,"C","D"))))</f>
        <v/>
      </c>
      <c r="BE196" s="4"/>
      <c r="BF196" s="16"/>
      <c r="BG196" s="16" t="str">
        <f t="shared" ref="BG196:BG204" si="85">IF(D196="","",IF(D196="A",90,IF(D196="B",75,IF(D196="C",60,45))))</f>
        <v/>
      </c>
      <c r="BH196" s="16" t="str">
        <f t="shared" ref="BH196:BH204" si="86">IF(F196="","",IF(F196="A",90,IF(F196="B",75,IF(F196="C",60,45))))</f>
        <v/>
      </c>
      <c r="BI196" s="16" t="str">
        <f t="shared" ref="BI196:BI204" si="87">IF(H196="","",IF(H196="A",90,IF(H196="B",75,IF(H196="C",60,45))))</f>
        <v/>
      </c>
      <c r="BJ196" s="16" t="str">
        <f t="shared" ref="BJ196:BJ204" si="88">IF(J196="","",IF(J196="A",90,IF(J196="B",75,IF(J196="C",60,45))))</f>
        <v/>
      </c>
      <c r="BK196" t="str">
        <f t="shared" ref="BK196:BK204" si="89">IF(L196="","",IF(L196="A",90,IF(L196="B",75,IF(L196="C",60,45))))</f>
        <v/>
      </c>
      <c r="BL196" t="str">
        <f t="shared" ref="BL196:BL204" si="90">IF(N196="","",IF(N196="A",90,IF(N196="B",75,IF(N196="C",60,45))))</f>
        <v/>
      </c>
      <c r="BM196" t="str">
        <f t="shared" ref="BM196:BM204" si="91">IF(P196="","",IF(P196="A",90,IF(P196="B",75,IF(P196="C",60,45))))</f>
        <v/>
      </c>
      <c r="BN196" t="str">
        <f t="shared" ref="BN196:BN204" si="92">IF(R196="","",IF(R196="A",90,IF(R196="B",75,IF(R196="C",60,45))))</f>
        <v/>
      </c>
      <c r="BO196" t="str">
        <f t="shared" ref="BO196:BO204" si="93">IF(T196="","",IF(T196="A",90,IF(T196="B",75,IF(T196="C",60,45))))</f>
        <v/>
      </c>
      <c r="BP196" t="str">
        <f t="shared" ref="BP196:BP204" si="94">IF(V196="","",IF(V196="A",90,IF(V196="B",75,IF(V196="C",60,45))))</f>
        <v/>
      </c>
      <c r="BQ196" t="str">
        <f t="shared" ref="BQ196:BQ204" si="95">IF(X196="","",IF(X196="A",90,IF(X196="B",75,IF(X196="C",60,45))))</f>
        <v/>
      </c>
      <c r="BR196" t="str">
        <f t="shared" ref="BR196:BR204" si="96">IF(Z196="","",IF(Z196="A",90,IF(Z196="B",75,IF(Z196="C",60,45))))</f>
        <v/>
      </c>
      <c r="BS196" t="str">
        <f t="shared" ref="BS196:BS204" si="97">IF(AB196="","",IF(AB196="A",90,IF(AB196="B",75,IF(AB196="C",60,45))))</f>
        <v/>
      </c>
      <c r="BT196" t="str">
        <f t="shared" ref="BT196:BT204" si="98">IF(AD196="","",IF(AD196="A",90,IF(AD196="B",75,IF(AD196="C",60,45))))</f>
        <v/>
      </c>
      <c r="BU196" t="str">
        <f t="shared" ref="BU196:BU204" si="99">IF(AF196="","",IF(AF196="A",90,IF(AF196="B",75,IF(AF196="C",60,45))))</f>
        <v/>
      </c>
      <c r="BV196" t="str">
        <f t="shared" ref="BV196:BV204" si="100">IF(AH196="","",IF(AH196="A",90,IF(AH196="B",75,IF(AH196="C",60,45))))</f>
        <v/>
      </c>
      <c r="BW196" t="str">
        <f t="shared" ref="BW196:BW204" si="101">IF(AJ196="","",IF(AJ196="A",90,IF(AJ196="B",75,IF(AJ196="C",60,45))))</f>
        <v/>
      </c>
      <c r="BX196" t="str">
        <f t="shared" ref="BX196:BX204" si="102">IF(AL196="","",IF(AL196="A",90,IF(AL196="B",75,IF(AL196="C",60,45))))</f>
        <v/>
      </c>
      <c r="BY196" t="str">
        <f t="shared" ref="BY196:BY204" si="103">IF(AN196="","",IF(AN196="A",90,IF(AN196="B",75,IF(AN196="C",60,45))))</f>
        <v/>
      </c>
      <c r="BZ196" t="str">
        <f t="shared" ref="BZ196:BZ204" si="104">IF(AP196="","",IF(AP196="A",90,IF(AP196="B",75,IF(AP196="C",60,45))))</f>
        <v/>
      </c>
      <c r="CA196" t="str">
        <f t="shared" ref="CA196:CA204" si="105">IF(AR196="","",IF(AR196="A",90,IF(AR196="B",75,IF(AR196="C",60,45))))</f>
        <v/>
      </c>
      <c r="CB196" t="str">
        <f t="shared" ref="CB196:CB204" si="106">IF(AT196="","",IF(AT196="A",90,IF(AT196="B",75,IF(AT196="C",60,45))))</f>
        <v/>
      </c>
      <c r="CC196" t="str">
        <f t="shared" ref="CC196:CC204" si="107">IF(AV196="","",IF(AV196="A",90,IF(AV196="B",75,IF(AV196="C",60,45))))</f>
        <v/>
      </c>
      <c r="CD196" t="str">
        <f t="shared" ref="CD196:CD204" si="108">IF(AX196="","",IF(AX196="A",90,IF(AX196="B",75,IF(AX196="C",60,45))))</f>
        <v/>
      </c>
    </row>
    <row r="197" spans="1:82" ht="33.6" customHeight="1" x14ac:dyDescent="0.3">
      <c r="A197" s="4"/>
      <c r="B197" s="4"/>
      <c r="C197" s="4"/>
      <c r="D197" s="5"/>
      <c r="E197" s="6"/>
      <c r="F197" s="5"/>
      <c r="G197" s="6"/>
      <c r="H197" s="5"/>
      <c r="I197" s="21"/>
      <c r="J197" s="5"/>
      <c r="K197" s="6"/>
      <c r="L197" s="5"/>
      <c r="M197" s="6"/>
      <c r="N197" s="5"/>
      <c r="O197" s="6"/>
      <c r="P197" s="5"/>
      <c r="Q197" s="6"/>
      <c r="R197" s="5"/>
      <c r="S197" s="6"/>
      <c r="T197" s="5"/>
      <c r="U197" s="21"/>
      <c r="V197" s="5"/>
      <c r="W197" s="6"/>
      <c r="X197" s="5"/>
      <c r="Y197" s="6"/>
      <c r="Z197" s="5"/>
      <c r="AA197" s="6"/>
      <c r="AB197" s="5"/>
      <c r="AC197" s="6"/>
      <c r="AD197" s="5"/>
      <c r="AE197" s="6"/>
      <c r="AF197" s="5"/>
      <c r="AG197" s="21"/>
      <c r="AH197" s="5"/>
      <c r="AI197" s="6"/>
      <c r="AJ197" s="5"/>
      <c r="AK197" s="6"/>
      <c r="AL197" s="5"/>
      <c r="AM197" s="21"/>
      <c r="AN197" s="5"/>
      <c r="AO197" s="6"/>
      <c r="AP197" s="5"/>
      <c r="AQ197" s="6"/>
      <c r="AR197" s="5"/>
      <c r="AS197" s="21"/>
      <c r="AT197" s="5"/>
      <c r="AU197" s="6"/>
      <c r="AV197" s="5"/>
      <c r="AW197" s="6"/>
      <c r="AX197" s="5"/>
      <c r="AY197" s="21"/>
      <c r="AZ197" s="6"/>
      <c r="BA197" s="6"/>
      <c r="BB197" s="6"/>
      <c r="BC197" s="7" t="str">
        <f t="shared" si="82"/>
        <v/>
      </c>
      <c r="BD197" s="7" t="str">
        <f t="shared" si="84"/>
        <v/>
      </c>
      <c r="BE197" s="4"/>
      <c r="BF197" s="16"/>
      <c r="BG197" s="16" t="str">
        <f t="shared" si="85"/>
        <v/>
      </c>
      <c r="BH197" s="16" t="str">
        <f t="shared" si="86"/>
        <v/>
      </c>
      <c r="BI197" s="16" t="str">
        <f t="shared" si="87"/>
        <v/>
      </c>
      <c r="BJ197" s="16" t="str">
        <f t="shared" si="88"/>
        <v/>
      </c>
      <c r="BK197" t="str">
        <f t="shared" si="89"/>
        <v/>
      </c>
      <c r="BL197" t="str">
        <f t="shared" si="90"/>
        <v/>
      </c>
      <c r="BM197" t="str">
        <f t="shared" si="91"/>
        <v/>
      </c>
      <c r="BN197" t="str">
        <f t="shared" si="92"/>
        <v/>
      </c>
      <c r="BO197" t="str">
        <f t="shared" si="93"/>
        <v/>
      </c>
      <c r="BP197" t="str">
        <f t="shared" si="94"/>
        <v/>
      </c>
      <c r="BQ197" t="str">
        <f t="shared" si="95"/>
        <v/>
      </c>
      <c r="BR197" t="str">
        <f t="shared" si="96"/>
        <v/>
      </c>
      <c r="BS197" t="str">
        <f t="shared" si="97"/>
        <v/>
      </c>
      <c r="BT197" t="str">
        <f t="shared" si="98"/>
        <v/>
      </c>
      <c r="BU197" t="str">
        <f t="shared" si="99"/>
        <v/>
      </c>
      <c r="BV197" t="str">
        <f t="shared" si="100"/>
        <v/>
      </c>
      <c r="BW197" t="str">
        <f t="shared" si="101"/>
        <v/>
      </c>
      <c r="BX197" t="str">
        <f t="shared" si="102"/>
        <v/>
      </c>
      <c r="BY197" t="str">
        <f t="shared" si="103"/>
        <v/>
      </c>
      <c r="BZ197" t="str">
        <f t="shared" si="104"/>
        <v/>
      </c>
      <c r="CA197" t="str">
        <f t="shared" si="105"/>
        <v/>
      </c>
      <c r="CB197" t="str">
        <f t="shared" si="106"/>
        <v/>
      </c>
      <c r="CC197" t="str">
        <f t="shared" si="107"/>
        <v/>
      </c>
      <c r="CD197" t="str">
        <f t="shared" si="108"/>
        <v/>
      </c>
    </row>
    <row r="198" spans="1:82" ht="33.6" customHeight="1" x14ac:dyDescent="0.3">
      <c r="A198" s="4"/>
      <c r="B198" s="4"/>
      <c r="C198" s="4"/>
      <c r="D198" s="5"/>
      <c r="E198" s="6"/>
      <c r="F198" s="5"/>
      <c r="G198" s="6"/>
      <c r="H198" s="5"/>
      <c r="I198" s="21"/>
      <c r="J198" s="5"/>
      <c r="K198" s="6"/>
      <c r="L198" s="5"/>
      <c r="M198" s="6"/>
      <c r="N198" s="5"/>
      <c r="O198" s="6"/>
      <c r="P198" s="5"/>
      <c r="Q198" s="6"/>
      <c r="R198" s="5"/>
      <c r="S198" s="6"/>
      <c r="T198" s="5"/>
      <c r="U198" s="21"/>
      <c r="V198" s="5"/>
      <c r="W198" s="6"/>
      <c r="X198" s="5"/>
      <c r="Y198" s="6"/>
      <c r="Z198" s="5"/>
      <c r="AA198" s="6"/>
      <c r="AB198" s="5"/>
      <c r="AC198" s="6"/>
      <c r="AD198" s="5"/>
      <c r="AE198" s="6"/>
      <c r="AF198" s="5"/>
      <c r="AG198" s="21"/>
      <c r="AH198" s="5"/>
      <c r="AI198" s="6"/>
      <c r="AJ198" s="5"/>
      <c r="AK198" s="6"/>
      <c r="AL198" s="5"/>
      <c r="AM198" s="21"/>
      <c r="AN198" s="5"/>
      <c r="AO198" s="6"/>
      <c r="AP198" s="5"/>
      <c r="AQ198" s="6"/>
      <c r="AR198" s="5"/>
      <c r="AS198" s="21"/>
      <c r="AT198" s="5"/>
      <c r="AU198" s="6"/>
      <c r="AV198" s="5"/>
      <c r="AW198" s="6"/>
      <c r="AX198" s="5"/>
      <c r="AY198" s="21"/>
      <c r="AZ198" s="6"/>
      <c r="BA198" s="6"/>
      <c r="BB198" s="6"/>
      <c r="BC198" s="7" t="str">
        <f t="shared" si="82"/>
        <v/>
      </c>
      <c r="BD198" s="7" t="str">
        <f t="shared" si="84"/>
        <v/>
      </c>
      <c r="BE198" s="4"/>
      <c r="BF198" s="16"/>
      <c r="BG198" s="16" t="str">
        <f t="shared" si="85"/>
        <v/>
      </c>
      <c r="BH198" s="16" t="str">
        <f t="shared" si="86"/>
        <v/>
      </c>
      <c r="BI198" s="16" t="str">
        <f t="shared" si="87"/>
        <v/>
      </c>
      <c r="BJ198" s="16" t="str">
        <f t="shared" si="88"/>
        <v/>
      </c>
      <c r="BK198" t="str">
        <f t="shared" si="89"/>
        <v/>
      </c>
      <c r="BL198" t="str">
        <f t="shared" si="90"/>
        <v/>
      </c>
      <c r="BM198" t="str">
        <f t="shared" si="91"/>
        <v/>
      </c>
      <c r="BN198" t="str">
        <f t="shared" si="92"/>
        <v/>
      </c>
      <c r="BO198" t="str">
        <f t="shared" si="93"/>
        <v/>
      </c>
      <c r="BP198" t="str">
        <f t="shared" si="94"/>
        <v/>
      </c>
      <c r="BQ198" t="str">
        <f t="shared" si="95"/>
        <v/>
      </c>
      <c r="BR198" t="str">
        <f t="shared" si="96"/>
        <v/>
      </c>
      <c r="BS198" t="str">
        <f t="shared" si="97"/>
        <v/>
      </c>
      <c r="BT198" t="str">
        <f t="shared" si="98"/>
        <v/>
      </c>
      <c r="BU198" t="str">
        <f t="shared" si="99"/>
        <v/>
      </c>
      <c r="BV198" t="str">
        <f t="shared" si="100"/>
        <v/>
      </c>
      <c r="BW198" t="str">
        <f t="shared" si="101"/>
        <v/>
      </c>
      <c r="BX198" t="str">
        <f t="shared" si="102"/>
        <v/>
      </c>
      <c r="BY198" t="str">
        <f t="shared" si="103"/>
        <v/>
      </c>
      <c r="BZ198" t="str">
        <f t="shared" si="104"/>
        <v/>
      </c>
      <c r="CA198" t="str">
        <f t="shared" si="105"/>
        <v/>
      </c>
      <c r="CB198" t="str">
        <f t="shared" si="106"/>
        <v/>
      </c>
      <c r="CC198" t="str">
        <f t="shared" si="107"/>
        <v/>
      </c>
      <c r="CD198" t="str">
        <f t="shared" si="108"/>
        <v/>
      </c>
    </row>
    <row r="199" spans="1:82" ht="33.6" customHeight="1" x14ac:dyDescent="0.3">
      <c r="A199" s="4"/>
      <c r="B199" s="4"/>
      <c r="C199" s="4"/>
      <c r="D199" s="5"/>
      <c r="E199" s="6"/>
      <c r="F199" s="5"/>
      <c r="G199" s="6"/>
      <c r="H199" s="5"/>
      <c r="I199" s="21"/>
      <c r="J199" s="5"/>
      <c r="K199" s="6"/>
      <c r="L199" s="5"/>
      <c r="M199" s="6"/>
      <c r="N199" s="5"/>
      <c r="O199" s="6"/>
      <c r="P199" s="5"/>
      <c r="Q199" s="6"/>
      <c r="R199" s="5"/>
      <c r="S199" s="6"/>
      <c r="T199" s="5"/>
      <c r="U199" s="21"/>
      <c r="V199" s="5"/>
      <c r="W199" s="6"/>
      <c r="X199" s="5"/>
      <c r="Y199" s="6"/>
      <c r="Z199" s="5"/>
      <c r="AA199" s="6"/>
      <c r="AB199" s="5"/>
      <c r="AC199" s="6"/>
      <c r="AD199" s="5"/>
      <c r="AE199" s="6"/>
      <c r="AF199" s="5"/>
      <c r="AG199" s="21"/>
      <c r="AH199" s="5"/>
      <c r="AI199" s="6"/>
      <c r="AJ199" s="5"/>
      <c r="AK199" s="6"/>
      <c r="AL199" s="5"/>
      <c r="AM199" s="21"/>
      <c r="AN199" s="5"/>
      <c r="AO199" s="6"/>
      <c r="AP199" s="5"/>
      <c r="AQ199" s="6"/>
      <c r="AR199" s="5"/>
      <c r="AS199" s="21"/>
      <c r="AT199" s="5"/>
      <c r="AU199" s="6"/>
      <c r="AV199" s="5"/>
      <c r="AW199" s="6"/>
      <c r="AX199" s="5"/>
      <c r="AY199" s="21"/>
      <c r="AZ199" s="6"/>
      <c r="BA199" s="6"/>
      <c r="BB199" s="6"/>
      <c r="BC199" s="7" t="str">
        <f t="shared" si="82"/>
        <v/>
      </c>
      <c r="BD199" s="7" t="str">
        <f t="shared" si="84"/>
        <v/>
      </c>
      <c r="BE199" s="4"/>
      <c r="BF199" s="16"/>
      <c r="BG199" s="16" t="str">
        <f t="shared" si="85"/>
        <v/>
      </c>
      <c r="BH199" s="16" t="str">
        <f t="shared" si="86"/>
        <v/>
      </c>
      <c r="BI199" s="16" t="str">
        <f t="shared" si="87"/>
        <v/>
      </c>
      <c r="BJ199" s="16" t="str">
        <f t="shared" si="88"/>
        <v/>
      </c>
      <c r="BK199" t="str">
        <f t="shared" si="89"/>
        <v/>
      </c>
      <c r="BL199" t="str">
        <f t="shared" si="90"/>
        <v/>
      </c>
      <c r="BM199" t="str">
        <f t="shared" si="91"/>
        <v/>
      </c>
      <c r="BN199" t="str">
        <f t="shared" si="92"/>
        <v/>
      </c>
      <c r="BO199" t="str">
        <f t="shared" si="93"/>
        <v/>
      </c>
      <c r="BP199" t="str">
        <f t="shared" si="94"/>
        <v/>
      </c>
      <c r="BQ199" t="str">
        <f t="shared" si="95"/>
        <v/>
      </c>
      <c r="BR199" t="str">
        <f t="shared" si="96"/>
        <v/>
      </c>
      <c r="BS199" t="str">
        <f t="shared" si="97"/>
        <v/>
      </c>
      <c r="BT199" t="str">
        <f t="shared" si="98"/>
        <v/>
      </c>
      <c r="BU199" t="str">
        <f t="shared" si="99"/>
        <v/>
      </c>
      <c r="BV199" t="str">
        <f t="shared" si="100"/>
        <v/>
      </c>
      <c r="BW199" t="str">
        <f t="shared" si="101"/>
        <v/>
      </c>
      <c r="BX199" t="str">
        <f t="shared" si="102"/>
        <v/>
      </c>
      <c r="BY199" t="str">
        <f t="shared" si="103"/>
        <v/>
      </c>
      <c r="BZ199" t="str">
        <f t="shared" si="104"/>
        <v/>
      </c>
      <c r="CA199" t="str">
        <f t="shared" si="105"/>
        <v/>
      </c>
      <c r="CB199" t="str">
        <f t="shared" si="106"/>
        <v/>
      </c>
      <c r="CC199" t="str">
        <f t="shared" si="107"/>
        <v/>
      </c>
      <c r="CD199" t="str">
        <f t="shared" si="108"/>
        <v/>
      </c>
    </row>
    <row r="200" spans="1:82" ht="33.6" customHeight="1" x14ac:dyDescent="0.3">
      <c r="A200" s="4"/>
      <c r="B200" s="4"/>
      <c r="C200" s="4"/>
      <c r="D200" s="5"/>
      <c r="E200" s="6"/>
      <c r="F200" s="5"/>
      <c r="G200" s="6"/>
      <c r="H200" s="5"/>
      <c r="I200" s="21"/>
      <c r="J200" s="5"/>
      <c r="K200" s="6"/>
      <c r="L200" s="5"/>
      <c r="M200" s="6"/>
      <c r="N200" s="5"/>
      <c r="O200" s="6"/>
      <c r="P200" s="5"/>
      <c r="Q200" s="6"/>
      <c r="R200" s="5"/>
      <c r="S200" s="6"/>
      <c r="T200" s="5"/>
      <c r="U200" s="21"/>
      <c r="V200" s="5"/>
      <c r="W200" s="6"/>
      <c r="X200" s="5"/>
      <c r="Y200" s="6"/>
      <c r="Z200" s="5"/>
      <c r="AA200" s="6"/>
      <c r="AB200" s="5"/>
      <c r="AC200" s="6"/>
      <c r="AD200" s="5"/>
      <c r="AE200" s="6"/>
      <c r="AF200" s="5"/>
      <c r="AG200" s="21"/>
      <c r="AH200" s="5"/>
      <c r="AI200" s="6"/>
      <c r="AJ200" s="5"/>
      <c r="AK200" s="6"/>
      <c r="AL200" s="5"/>
      <c r="AM200" s="21"/>
      <c r="AN200" s="5"/>
      <c r="AO200" s="6"/>
      <c r="AP200" s="5"/>
      <c r="AQ200" s="6"/>
      <c r="AR200" s="5"/>
      <c r="AS200" s="21"/>
      <c r="AT200" s="5"/>
      <c r="AU200" s="6"/>
      <c r="AV200" s="5"/>
      <c r="AW200" s="6"/>
      <c r="AX200" s="5"/>
      <c r="AY200" s="21"/>
      <c r="AZ200" s="6"/>
      <c r="BA200" s="6"/>
      <c r="BB200" s="6"/>
      <c r="BC200" s="7" t="str">
        <f t="shared" si="82"/>
        <v/>
      </c>
      <c r="BD200" s="7" t="str">
        <f t="shared" si="84"/>
        <v/>
      </c>
      <c r="BE200" s="4"/>
      <c r="BF200" s="16"/>
      <c r="BG200" s="16" t="str">
        <f t="shared" si="85"/>
        <v/>
      </c>
      <c r="BH200" s="16" t="str">
        <f t="shared" si="86"/>
        <v/>
      </c>
      <c r="BI200" s="16" t="str">
        <f t="shared" si="87"/>
        <v/>
      </c>
      <c r="BJ200" s="16" t="str">
        <f t="shared" si="88"/>
        <v/>
      </c>
      <c r="BK200" t="str">
        <f t="shared" si="89"/>
        <v/>
      </c>
      <c r="BL200" t="str">
        <f t="shared" si="90"/>
        <v/>
      </c>
      <c r="BM200" t="str">
        <f t="shared" si="91"/>
        <v/>
      </c>
      <c r="BN200" t="str">
        <f t="shared" si="92"/>
        <v/>
      </c>
      <c r="BO200" t="str">
        <f t="shared" si="93"/>
        <v/>
      </c>
      <c r="BP200" t="str">
        <f t="shared" si="94"/>
        <v/>
      </c>
      <c r="BQ200" t="str">
        <f t="shared" si="95"/>
        <v/>
      </c>
      <c r="BR200" t="str">
        <f t="shared" si="96"/>
        <v/>
      </c>
      <c r="BS200" t="str">
        <f t="shared" si="97"/>
        <v/>
      </c>
      <c r="BT200" t="str">
        <f t="shared" si="98"/>
        <v/>
      </c>
      <c r="BU200" t="str">
        <f t="shared" si="99"/>
        <v/>
      </c>
      <c r="BV200" t="str">
        <f t="shared" si="100"/>
        <v/>
      </c>
      <c r="BW200" t="str">
        <f t="shared" si="101"/>
        <v/>
      </c>
      <c r="BX200" t="str">
        <f t="shared" si="102"/>
        <v/>
      </c>
      <c r="BY200" t="str">
        <f t="shared" si="103"/>
        <v/>
      </c>
      <c r="BZ200" t="str">
        <f t="shared" si="104"/>
        <v/>
      </c>
      <c r="CA200" t="str">
        <f t="shared" si="105"/>
        <v/>
      </c>
      <c r="CB200" t="str">
        <f t="shared" si="106"/>
        <v/>
      </c>
      <c r="CC200" t="str">
        <f t="shared" si="107"/>
        <v/>
      </c>
      <c r="CD200" t="str">
        <f t="shared" si="108"/>
        <v/>
      </c>
    </row>
    <row r="201" spans="1:82" ht="33.6" customHeight="1" x14ac:dyDescent="0.3">
      <c r="A201" s="4"/>
      <c r="B201" s="4"/>
      <c r="C201" s="4"/>
      <c r="D201" s="5"/>
      <c r="E201" s="6"/>
      <c r="F201" s="5"/>
      <c r="G201" s="6"/>
      <c r="H201" s="5"/>
      <c r="I201" s="21"/>
      <c r="J201" s="5"/>
      <c r="K201" s="6"/>
      <c r="L201" s="5"/>
      <c r="M201" s="6"/>
      <c r="N201" s="5"/>
      <c r="O201" s="6"/>
      <c r="P201" s="5"/>
      <c r="Q201" s="6"/>
      <c r="R201" s="5"/>
      <c r="S201" s="6"/>
      <c r="T201" s="5"/>
      <c r="U201" s="21"/>
      <c r="V201" s="5"/>
      <c r="W201" s="6"/>
      <c r="X201" s="5"/>
      <c r="Y201" s="6"/>
      <c r="Z201" s="5"/>
      <c r="AA201" s="6"/>
      <c r="AB201" s="5"/>
      <c r="AC201" s="6"/>
      <c r="AD201" s="5"/>
      <c r="AE201" s="6"/>
      <c r="AF201" s="5"/>
      <c r="AG201" s="21"/>
      <c r="AH201" s="5"/>
      <c r="AI201" s="6"/>
      <c r="AJ201" s="5"/>
      <c r="AK201" s="6"/>
      <c r="AL201" s="5"/>
      <c r="AM201" s="21"/>
      <c r="AN201" s="5"/>
      <c r="AO201" s="6"/>
      <c r="AP201" s="5"/>
      <c r="AQ201" s="6"/>
      <c r="AR201" s="5"/>
      <c r="AS201" s="21"/>
      <c r="AT201" s="5"/>
      <c r="AU201" s="6"/>
      <c r="AV201" s="5"/>
      <c r="AW201" s="6"/>
      <c r="AX201" s="5"/>
      <c r="AY201" s="21"/>
      <c r="AZ201" s="6"/>
      <c r="BA201" s="6"/>
      <c r="BB201" s="6"/>
      <c r="BC201" s="7" t="str">
        <f>IF(COUNT(BG201:CD201)=0,"",ROUND(AVERAGE(BG201:CD201),0))</f>
        <v/>
      </c>
      <c r="BD201" s="7" t="str">
        <f>IF(BC201="","",IF(BC201&gt;=85,"A",IF(BC201&gt;=70,"B",IF(BC201&gt;=55,"C","D"))))</f>
        <v/>
      </c>
      <c r="BE201" s="4"/>
      <c r="BF201" s="16"/>
      <c r="BG201" s="16" t="str">
        <f t="shared" si="85"/>
        <v/>
      </c>
      <c r="BH201" s="16" t="str">
        <f t="shared" si="86"/>
        <v/>
      </c>
      <c r="BI201" s="16" t="str">
        <f t="shared" si="87"/>
        <v/>
      </c>
      <c r="BJ201" s="16" t="str">
        <f t="shared" si="88"/>
        <v/>
      </c>
      <c r="BK201" t="str">
        <f t="shared" si="89"/>
        <v/>
      </c>
      <c r="BL201" t="str">
        <f t="shared" si="90"/>
        <v/>
      </c>
      <c r="BM201" t="str">
        <f t="shared" si="91"/>
        <v/>
      </c>
      <c r="BN201" t="str">
        <f t="shared" si="92"/>
        <v/>
      </c>
      <c r="BO201" t="str">
        <f t="shared" si="93"/>
        <v/>
      </c>
      <c r="BP201" t="str">
        <f t="shared" si="94"/>
        <v/>
      </c>
      <c r="BQ201" t="str">
        <f t="shared" si="95"/>
        <v/>
      </c>
      <c r="BR201" t="str">
        <f t="shared" si="96"/>
        <v/>
      </c>
      <c r="BS201" t="str">
        <f t="shared" si="97"/>
        <v/>
      </c>
      <c r="BT201" t="str">
        <f t="shared" si="98"/>
        <v/>
      </c>
      <c r="BU201" t="str">
        <f t="shared" si="99"/>
        <v/>
      </c>
      <c r="BV201" t="str">
        <f t="shared" si="100"/>
        <v/>
      </c>
      <c r="BW201" t="str">
        <f t="shared" si="101"/>
        <v/>
      </c>
      <c r="BX201" t="str">
        <f t="shared" si="102"/>
        <v/>
      </c>
      <c r="BY201" t="str">
        <f t="shared" si="103"/>
        <v/>
      </c>
      <c r="BZ201" t="str">
        <f t="shared" si="104"/>
        <v/>
      </c>
      <c r="CA201" t="str">
        <f t="shared" si="105"/>
        <v/>
      </c>
      <c r="CB201" t="str">
        <f t="shared" si="106"/>
        <v/>
      </c>
      <c r="CC201" t="str">
        <f t="shared" si="107"/>
        <v/>
      </c>
      <c r="CD201" t="str">
        <f t="shared" si="108"/>
        <v/>
      </c>
    </row>
    <row r="202" spans="1:82" ht="33.6" customHeight="1" x14ac:dyDescent="0.3">
      <c r="A202" s="4"/>
      <c r="B202" s="4"/>
      <c r="C202" s="4"/>
      <c r="D202" s="5"/>
      <c r="E202" s="6"/>
      <c r="F202" s="5"/>
      <c r="G202" s="6"/>
      <c r="H202" s="5"/>
      <c r="I202" s="21"/>
      <c r="J202" s="5"/>
      <c r="K202" s="6"/>
      <c r="L202" s="5"/>
      <c r="M202" s="6"/>
      <c r="N202" s="5"/>
      <c r="O202" s="6"/>
      <c r="P202" s="5"/>
      <c r="Q202" s="6"/>
      <c r="R202" s="5"/>
      <c r="S202" s="6"/>
      <c r="T202" s="5"/>
      <c r="U202" s="21"/>
      <c r="V202" s="5"/>
      <c r="W202" s="6"/>
      <c r="X202" s="5"/>
      <c r="Y202" s="6"/>
      <c r="Z202" s="5"/>
      <c r="AA202" s="6"/>
      <c r="AB202" s="5"/>
      <c r="AC202" s="6"/>
      <c r="AD202" s="5"/>
      <c r="AE202" s="6"/>
      <c r="AF202" s="5"/>
      <c r="AG202" s="21"/>
      <c r="AH202" s="5"/>
      <c r="AI202" s="6"/>
      <c r="AJ202" s="5"/>
      <c r="AK202" s="6"/>
      <c r="AL202" s="5"/>
      <c r="AM202" s="21"/>
      <c r="AN202" s="5"/>
      <c r="AO202" s="6"/>
      <c r="AP202" s="5"/>
      <c r="AQ202" s="6"/>
      <c r="AR202" s="5"/>
      <c r="AS202" s="21"/>
      <c r="AT202" s="5"/>
      <c r="AU202" s="6"/>
      <c r="AV202" s="5"/>
      <c r="AW202" s="6"/>
      <c r="AX202" s="5"/>
      <c r="AY202" s="21"/>
      <c r="AZ202" s="6"/>
      <c r="BA202" s="6"/>
      <c r="BB202" s="6"/>
      <c r="BC202" s="7" t="str">
        <f>IF(COUNT(BG202:CD202)=0,"",ROUND(AVERAGE(BG202:CD202),0))</f>
        <v/>
      </c>
      <c r="BD202" s="7" t="str">
        <f>IF(BC202="","",IF(BC202&gt;=85,"A",IF(BC202&gt;=70,"B",IF(BC202&gt;=55,"C","D"))))</f>
        <v/>
      </c>
      <c r="BE202" s="4"/>
      <c r="BF202" s="16"/>
      <c r="BG202" s="16" t="str">
        <f t="shared" si="85"/>
        <v/>
      </c>
      <c r="BH202" s="16" t="str">
        <f t="shared" si="86"/>
        <v/>
      </c>
      <c r="BI202" s="16" t="str">
        <f t="shared" si="87"/>
        <v/>
      </c>
      <c r="BJ202" s="16" t="str">
        <f t="shared" si="88"/>
        <v/>
      </c>
      <c r="BK202" t="str">
        <f t="shared" si="89"/>
        <v/>
      </c>
      <c r="BL202" t="str">
        <f t="shared" si="90"/>
        <v/>
      </c>
      <c r="BM202" t="str">
        <f t="shared" si="91"/>
        <v/>
      </c>
      <c r="BN202" t="str">
        <f t="shared" si="92"/>
        <v/>
      </c>
      <c r="BO202" t="str">
        <f t="shared" si="93"/>
        <v/>
      </c>
      <c r="BP202" t="str">
        <f t="shared" si="94"/>
        <v/>
      </c>
      <c r="BQ202" t="str">
        <f t="shared" si="95"/>
        <v/>
      </c>
      <c r="BR202" t="str">
        <f t="shared" si="96"/>
        <v/>
      </c>
      <c r="BS202" t="str">
        <f t="shared" si="97"/>
        <v/>
      </c>
      <c r="BT202" t="str">
        <f t="shared" si="98"/>
        <v/>
      </c>
      <c r="BU202" t="str">
        <f t="shared" si="99"/>
        <v/>
      </c>
      <c r="BV202" t="str">
        <f t="shared" si="100"/>
        <v/>
      </c>
      <c r="BW202" t="str">
        <f t="shared" si="101"/>
        <v/>
      </c>
      <c r="BX202" t="str">
        <f t="shared" si="102"/>
        <v/>
      </c>
      <c r="BY202" t="str">
        <f t="shared" si="103"/>
        <v/>
      </c>
      <c r="BZ202" t="str">
        <f t="shared" si="104"/>
        <v/>
      </c>
      <c r="CA202" t="str">
        <f t="shared" si="105"/>
        <v/>
      </c>
      <c r="CB202" t="str">
        <f t="shared" si="106"/>
        <v/>
      </c>
      <c r="CC202" t="str">
        <f t="shared" si="107"/>
        <v/>
      </c>
      <c r="CD202" t="str">
        <f t="shared" si="108"/>
        <v/>
      </c>
    </row>
    <row r="203" spans="1:82" ht="33.6" customHeight="1" x14ac:dyDescent="0.3">
      <c r="A203" s="4"/>
      <c r="B203" s="4"/>
      <c r="C203" s="4"/>
      <c r="D203" s="5"/>
      <c r="E203" s="6"/>
      <c r="F203" s="5"/>
      <c r="G203" s="6"/>
      <c r="H203" s="5"/>
      <c r="I203" s="21"/>
      <c r="J203" s="5"/>
      <c r="K203" s="6"/>
      <c r="L203" s="5"/>
      <c r="M203" s="6"/>
      <c r="N203" s="5"/>
      <c r="O203" s="6"/>
      <c r="P203" s="5"/>
      <c r="Q203" s="6"/>
      <c r="R203" s="5"/>
      <c r="S203" s="6"/>
      <c r="T203" s="5"/>
      <c r="U203" s="21"/>
      <c r="V203" s="5"/>
      <c r="W203" s="6"/>
      <c r="X203" s="5"/>
      <c r="Y203" s="6"/>
      <c r="Z203" s="5"/>
      <c r="AA203" s="6"/>
      <c r="AB203" s="5"/>
      <c r="AC203" s="6"/>
      <c r="AD203" s="5"/>
      <c r="AE203" s="6"/>
      <c r="AF203" s="5"/>
      <c r="AG203" s="21"/>
      <c r="AH203" s="5"/>
      <c r="AI203" s="6"/>
      <c r="AJ203" s="5"/>
      <c r="AK203" s="6"/>
      <c r="AL203" s="5"/>
      <c r="AM203" s="21"/>
      <c r="AN203" s="5"/>
      <c r="AO203" s="6"/>
      <c r="AP203" s="5"/>
      <c r="AQ203" s="6"/>
      <c r="AR203" s="5"/>
      <c r="AS203" s="21"/>
      <c r="AT203" s="5"/>
      <c r="AU203" s="6"/>
      <c r="AV203" s="5"/>
      <c r="AW203" s="6"/>
      <c r="AX203" s="5"/>
      <c r="AY203" s="21"/>
      <c r="AZ203" s="6"/>
      <c r="BA203" s="6"/>
      <c r="BB203" s="6"/>
      <c r="BC203" s="7" t="str">
        <f>IF(COUNT(BG203:CD203)=0,"",ROUND(AVERAGE(BG203:CD203),0))</f>
        <v/>
      </c>
      <c r="BD203" s="7" t="str">
        <f>IF(BC203="","",IF(BC203&gt;=85,"A",IF(BC203&gt;=70,"B",IF(BC203&gt;=55,"C","D"))))</f>
        <v/>
      </c>
      <c r="BE203" s="4"/>
      <c r="BF203" s="16"/>
      <c r="BG203" s="16" t="str">
        <f t="shared" si="85"/>
        <v/>
      </c>
      <c r="BH203" s="16" t="str">
        <f t="shared" si="86"/>
        <v/>
      </c>
      <c r="BI203" s="16" t="str">
        <f t="shared" si="87"/>
        <v/>
      </c>
      <c r="BJ203" s="16" t="str">
        <f t="shared" si="88"/>
        <v/>
      </c>
      <c r="BK203" t="str">
        <f t="shared" si="89"/>
        <v/>
      </c>
      <c r="BL203" t="str">
        <f t="shared" si="90"/>
        <v/>
      </c>
      <c r="BM203" t="str">
        <f t="shared" si="91"/>
        <v/>
      </c>
      <c r="BN203" t="str">
        <f t="shared" si="92"/>
        <v/>
      </c>
      <c r="BO203" t="str">
        <f t="shared" si="93"/>
        <v/>
      </c>
      <c r="BP203" t="str">
        <f t="shared" si="94"/>
        <v/>
      </c>
      <c r="BQ203" t="str">
        <f t="shared" si="95"/>
        <v/>
      </c>
      <c r="BR203" t="str">
        <f t="shared" si="96"/>
        <v/>
      </c>
      <c r="BS203" t="str">
        <f t="shared" si="97"/>
        <v/>
      </c>
      <c r="BT203" t="str">
        <f t="shared" si="98"/>
        <v/>
      </c>
      <c r="BU203" t="str">
        <f t="shared" si="99"/>
        <v/>
      </c>
      <c r="BV203" t="str">
        <f t="shared" si="100"/>
        <v/>
      </c>
      <c r="BW203" t="str">
        <f t="shared" si="101"/>
        <v/>
      </c>
      <c r="BX203" t="str">
        <f t="shared" si="102"/>
        <v/>
      </c>
      <c r="BY203" t="str">
        <f t="shared" si="103"/>
        <v/>
      </c>
      <c r="BZ203" t="str">
        <f t="shared" si="104"/>
        <v/>
      </c>
      <c r="CA203" t="str">
        <f t="shared" si="105"/>
        <v/>
      </c>
      <c r="CB203" t="str">
        <f t="shared" si="106"/>
        <v/>
      </c>
      <c r="CC203" t="str">
        <f t="shared" si="107"/>
        <v/>
      </c>
      <c r="CD203" t="str">
        <f t="shared" si="108"/>
        <v/>
      </c>
    </row>
    <row r="204" spans="1:82" ht="33.6" customHeight="1" x14ac:dyDescent="0.3">
      <c r="A204" s="4"/>
      <c r="B204" s="4"/>
      <c r="C204" s="4"/>
      <c r="D204" s="5"/>
      <c r="E204" s="6"/>
      <c r="F204" s="5"/>
      <c r="G204" s="6"/>
      <c r="H204" s="5"/>
      <c r="I204" s="21"/>
      <c r="J204" s="5"/>
      <c r="K204" s="6"/>
      <c r="L204" s="5"/>
      <c r="M204" s="6"/>
      <c r="N204" s="5"/>
      <c r="O204" s="6"/>
      <c r="P204" s="5"/>
      <c r="Q204" s="6"/>
      <c r="R204" s="5"/>
      <c r="S204" s="6"/>
      <c r="T204" s="5"/>
      <c r="U204" s="21"/>
      <c r="V204" s="5"/>
      <c r="W204" s="6"/>
      <c r="X204" s="5"/>
      <c r="Y204" s="6"/>
      <c r="Z204" s="5"/>
      <c r="AA204" s="6"/>
      <c r="AB204" s="5"/>
      <c r="AC204" s="6"/>
      <c r="AD204" s="5"/>
      <c r="AE204" s="6"/>
      <c r="AF204" s="5"/>
      <c r="AG204" s="21"/>
      <c r="AH204" s="5"/>
      <c r="AI204" s="6"/>
      <c r="AJ204" s="5"/>
      <c r="AK204" s="6"/>
      <c r="AL204" s="5"/>
      <c r="AM204" s="21"/>
      <c r="AN204" s="5"/>
      <c r="AO204" s="6"/>
      <c r="AP204" s="5"/>
      <c r="AQ204" s="6"/>
      <c r="AR204" s="5"/>
      <c r="AS204" s="21"/>
      <c r="AT204" s="5"/>
      <c r="AU204" s="6"/>
      <c r="AV204" s="5"/>
      <c r="AW204" s="6"/>
      <c r="AX204" s="5"/>
      <c r="AY204" s="21"/>
      <c r="AZ204" s="6"/>
      <c r="BA204" s="6"/>
      <c r="BB204" s="6"/>
      <c r="BC204" s="7" t="str">
        <f>IF(COUNT(BG204:CD204)=0,"",ROUND(AVERAGE(BG204:CD204),0))</f>
        <v/>
      </c>
      <c r="BD204" s="7" t="str">
        <f>IF(BC204="","",IF(BC204&gt;=85,"A",IF(BC204&gt;=70,"B",IF(BC204&gt;=55,"C","D"))))</f>
        <v/>
      </c>
      <c r="BE204" s="4"/>
      <c r="BG204" t="str">
        <f t="shared" si="85"/>
        <v/>
      </c>
      <c r="BH204" t="str">
        <f t="shared" si="86"/>
        <v/>
      </c>
      <c r="BI204" t="str">
        <f t="shared" si="87"/>
        <v/>
      </c>
      <c r="BJ204" t="str">
        <f t="shared" si="88"/>
        <v/>
      </c>
      <c r="BK204" t="str">
        <f t="shared" si="89"/>
        <v/>
      </c>
      <c r="BL204" t="str">
        <f t="shared" si="90"/>
        <v/>
      </c>
      <c r="BM204" t="str">
        <f t="shared" si="91"/>
        <v/>
      </c>
      <c r="BN204" t="str">
        <f t="shared" si="92"/>
        <v/>
      </c>
      <c r="BO204" t="str">
        <f t="shared" si="93"/>
        <v/>
      </c>
      <c r="BP204" t="str">
        <f t="shared" si="94"/>
        <v/>
      </c>
      <c r="BQ204" t="str">
        <f t="shared" si="95"/>
        <v/>
      </c>
      <c r="BR204" t="str">
        <f t="shared" si="96"/>
        <v/>
      </c>
      <c r="BS204" t="str">
        <f t="shared" si="97"/>
        <v/>
      </c>
      <c r="BT204" t="str">
        <f t="shared" si="98"/>
        <v/>
      </c>
      <c r="BU204" t="str">
        <f t="shared" si="99"/>
        <v/>
      </c>
      <c r="BV204" t="str">
        <f t="shared" si="100"/>
        <v/>
      </c>
      <c r="BW204" t="str">
        <f t="shared" si="101"/>
        <v/>
      </c>
      <c r="BX204" t="str">
        <f t="shared" si="102"/>
        <v/>
      </c>
      <c r="BY204" t="str">
        <f t="shared" si="103"/>
        <v/>
      </c>
      <c r="BZ204" t="str">
        <f t="shared" si="104"/>
        <v/>
      </c>
      <c r="CA204" t="str">
        <f t="shared" si="105"/>
        <v/>
      </c>
      <c r="CB204" t="str">
        <f t="shared" si="106"/>
        <v/>
      </c>
      <c r="CC204" t="str">
        <f t="shared" si="107"/>
        <v/>
      </c>
      <c r="CD204" t="str">
        <f t="shared" si="108"/>
        <v/>
      </c>
    </row>
  </sheetData>
  <mergeCells count="2">
    <mergeCell ref="A2:BF2"/>
    <mergeCell ref="A1:BF1"/>
  </mergeCells>
  <pageMargins left="0.7" right="0.7" top="0.75" bottom="0.75" header="0.3" footer="0.3"/>
  <extLst>
    <ext xmlns:x14="http://schemas.microsoft.com/office/spreadsheetml/2009/9/main" uri="{CCE6A557-97BC-4b89-ADB6-D9C93CAAB3DF}">
      <x14:dataValidations xmlns:xm="http://schemas.microsoft.com/office/excel/2006/main" count="51">
        <x14:dataValidation type="list" allowBlank="1" showErrorMessage="1">
          <x14:formula1>
            <xm:f>DV_Helper!$FA$2:$FA$6</xm:f>
          </x14:formula1>
          <xm:sqref>C4:C200</xm:sqref>
        </x14:dataValidation>
        <x14:dataValidation type="list" allowBlank="1" showErrorMessage="1">
          <x14:formula1>
            <xm:f>DV_Helper!$EZ$2:$EZ$6</xm:f>
          </x14:formula1>
          <xm:sqref>D4:D200</xm:sqref>
        </x14:dataValidation>
        <x14:dataValidation type="list" allowBlank="1" showErrorMessage="1">
          <x14:formula1>
            <xm:f>DV_Helper!$EZ$2:$EZ$6</xm:f>
          </x14:formula1>
          <xm:sqref>F4:F200</xm:sqref>
        </x14:dataValidation>
        <x14:dataValidation type="list" allowBlank="1" showErrorMessage="1">
          <x14:formula1>
            <xm:f>DV_Helper!$EZ$2:$EZ$6</xm:f>
          </x14:formula1>
          <xm:sqref>H4:H200</xm:sqref>
        </x14:dataValidation>
        <x14:dataValidation type="list" allowBlank="1" showErrorMessage="1">
          <x14:formula1>
            <xm:f>DV_Helper!$EZ$2:$EZ$6</xm:f>
          </x14:formula1>
          <xm:sqref>J4:J200</xm:sqref>
        </x14:dataValidation>
        <x14:dataValidation type="list" allowBlank="1" showErrorMessage="1">
          <x14:formula1>
            <xm:f>DV_Helper!$EZ$2:$EZ$6</xm:f>
          </x14:formula1>
          <xm:sqref>L4:L200</xm:sqref>
        </x14:dataValidation>
        <x14:dataValidation type="list" allowBlank="1" showErrorMessage="1">
          <x14:formula1>
            <xm:f>DV_Helper!$EZ$2:$EZ$6</xm:f>
          </x14:formula1>
          <xm:sqref>N4:N200</xm:sqref>
        </x14:dataValidation>
        <x14:dataValidation type="list" allowBlank="1" showErrorMessage="1">
          <x14:formula1>
            <xm:f>DV_Helper!$EZ$2:$EZ$6</xm:f>
          </x14:formula1>
          <xm:sqref>P4:P200</xm:sqref>
        </x14:dataValidation>
        <x14:dataValidation type="list" allowBlank="1" showErrorMessage="1">
          <x14:formula1>
            <xm:f>DV_Helper!$EZ$2:$EZ$6</xm:f>
          </x14:formula1>
          <xm:sqref>R4:R200</xm:sqref>
        </x14:dataValidation>
        <x14:dataValidation type="list" allowBlank="1" showErrorMessage="1">
          <x14:formula1>
            <xm:f>DV_Helper!$EZ$2:$EZ$6</xm:f>
          </x14:formula1>
          <xm:sqref>T4:T200</xm:sqref>
        </x14:dataValidation>
        <x14:dataValidation type="list" allowBlank="1" showErrorMessage="1">
          <x14:formula1>
            <xm:f>DV_Helper!$EZ$2:$EZ$6</xm:f>
          </x14:formula1>
          <xm:sqref>V4:V200</xm:sqref>
        </x14:dataValidation>
        <x14:dataValidation type="list" allowBlank="1" showErrorMessage="1">
          <x14:formula1>
            <xm:f>DV_Helper!$EZ$2:$EZ$6</xm:f>
          </x14:formula1>
          <xm:sqref>X4:X200</xm:sqref>
        </x14:dataValidation>
        <x14:dataValidation type="list" allowBlank="1" showErrorMessage="1">
          <x14:formula1>
            <xm:f>DV_Helper!$EZ$2:$EZ$6</xm:f>
          </x14:formula1>
          <xm:sqref>Z4:Z200</xm:sqref>
        </x14:dataValidation>
        <x14:dataValidation type="list" allowBlank="1" showErrorMessage="1">
          <x14:formula1>
            <xm:f>DV_Helper!$EZ$2:$EZ$6</xm:f>
          </x14:formula1>
          <xm:sqref>AB4:AB200</xm:sqref>
        </x14:dataValidation>
        <x14:dataValidation type="list" allowBlank="1" showErrorMessage="1">
          <x14:formula1>
            <xm:f>DV_Helper!$EZ$2:$EZ$6</xm:f>
          </x14:formula1>
          <xm:sqref>AD4:AD200</xm:sqref>
        </x14:dataValidation>
        <x14:dataValidation type="list" allowBlank="1" showErrorMessage="1">
          <x14:formula1>
            <xm:f>DV_Helper!$EZ$2:$EZ$6</xm:f>
          </x14:formula1>
          <xm:sqref>AF4:AF200</xm:sqref>
        </x14:dataValidation>
        <x14:dataValidation type="list" allowBlank="1" showErrorMessage="1">
          <x14:formula1>
            <xm:f>DV_Helper!$EZ$2:$EZ$6</xm:f>
          </x14:formula1>
          <xm:sqref>AH4:AH200</xm:sqref>
        </x14:dataValidation>
        <x14:dataValidation type="list" allowBlank="1" showErrorMessage="1">
          <x14:formula1>
            <xm:f>DV_Helper!$EZ$2:$EZ$6</xm:f>
          </x14:formula1>
          <xm:sqref>AJ4:AJ200</xm:sqref>
        </x14:dataValidation>
        <x14:dataValidation type="list" allowBlank="1" showErrorMessage="1">
          <x14:formula1>
            <xm:f>DV_Helper!$EZ$2:$EZ$6</xm:f>
          </x14:formula1>
          <xm:sqref>AL4:AL200</xm:sqref>
        </x14:dataValidation>
        <x14:dataValidation type="list" allowBlank="1" showErrorMessage="1">
          <x14:formula1>
            <xm:f>DV_Helper!$EZ$2:$EZ$6</xm:f>
          </x14:formula1>
          <xm:sqref>AN4:AN200</xm:sqref>
        </x14:dataValidation>
        <x14:dataValidation type="list" allowBlank="1" showErrorMessage="1">
          <x14:formula1>
            <xm:f>DV_Helper!$EZ$2:$EZ$6</xm:f>
          </x14:formula1>
          <xm:sqref>AP4:AP200</xm:sqref>
        </x14:dataValidation>
        <x14:dataValidation type="list" allowBlank="1" showErrorMessage="1">
          <x14:formula1>
            <xm:f>DV_Helper!$EZ$2:$EZ$6</xm:f>
          </x14:formula1>
          <xm:sqref>AR4:AR200</xm:sqref>
        </x14:dataValidation>
        <x14:dataValidation type="list" allowBlank="1" showErrorMessage="1">
          <x14:formula1>
            <xm:f>DV_Helper!$EZ$2:$EZ$6</xm:f>
          </x14:formula1>
          <xm:sqref>AT4:AT200</xm:sqref>
        </x14:dataValidation>
        <x14:dataValidation type="list" allowBlank="1" showErrorMessage="1">
          <x14:formula1>
            <xm:f>DV_Helper!$EZ$2:$EZ$6</xm:f>
          </x14:formula1>
          <xm:sqref>AV4:AV200</xm:sqref>
        </x14:dataValidation>
        <x14:dataValidation type="list" allowBlank="1" showErrorMessage="1">
          <x14:formula1>
            <xm:f>DV_Helper!$EZ$2:$EZ$6</xm:f>
          </x14:formula1>
          <xm:sqref>AX4:AX200</xm:sqref>
        </x14:dataValidation>
        <x14:dataValidation type="list" allowBlank="1" showErrorMessage="1">
          <x14:formula1>
            <xm:f>DV_Helper!$EZ$2:$EZ$6</xm:f>
          </x14:formula1>
          <xm:sqref>BD4:BD200</xm:sqref>
        </x14:dataValidation>
        <x14:dataValidation type="list" allowBlank="1" showErrorMessage="1">
          <x14:formula1>
            <xm:f>OFFSET(DV_Helper!$A$2,0,MATCH(SUBSTITUTE("Sem I_Screenwriting_"&amp;D4," ","_"),DV_Helper!$A$1:$EX$1,0)-1,8,1)</xm:f>
          </x14:formula1>
          <xm:sqref>E4:E200</xm:sqref>
        </x14:dataValidation>
        <x14:dataValidation type="list" allowBlank="1" showErrorMessage="1">
          <x14:formula1>
            <xm:f>OFFSET(DV_Helper!$A$2,0,MATCH(SUBSTITUTE("Sem I_Direction_"&amp;F4," ","_"),DV_Helper!$A$1:$EX$1,0)-1,8,1)</xm:f>
          </x14:formula1>
          <xm:sqref>G4:G200</xm:sqref>
        </x14:dataValidation>
        <x14:dataValidation type="list" allowBlank="1" showErrorMessage="1">
          <x14:formula1>
            <xm:f>OFFSET(DV_Helper!$A$2,0,MATCH(SUBSTITUTE("Sem I_Production_"&amp;H4," ","_"),DV_Helper!$A$1:$EX$1,0)-1,8,1)</xm:f>
          </x14:formula1>
          <xm:sqref>I4:I200</xm:sqref>
        </x14:dataValidation>
        <x14:dataValidation type="list" allowBlank="1" showErrorMessage="1">
          <x14:formula1>
            <xm:f>OFFSET(DV_Helper!$A$2,0,MATCH(SUBSTITUTE("Sem I_Cinematography_"&amp;J4," ","_"),DV_Helper!$A$1:$EX$1,0)-1,8,1)</xm:f>
          </x14:formula1>
          <xm:sqref>K4:K200</xm:sqref>
        </x14:dataValidation>
        <x14:dataValidation type="list" allowBlank="1" showErrorMessage="1">
          <x14:formula1>
            <xm:f>OFFSET(DV_Helper!$A$2,0,MATCH(SUBSTITUTE("Sem I_Sound_"&amp;L4," ","_"),DV_Helper!$A$1:$EX$1,0)-1,8,1)</xm:f>
          </x14:formula1>
          <xm:sqref>M4:M200</xm:sqref>
        </x14:dataValidation>
        <x14:dataValidation type="list" allowBlank="1" showErrorMessage="1">
          <x14:formula1>
            <xm:f>OFFSET(DV_Helper!$A$2,0,MATCH(SUBSTITUTE("Sem I_Editing_"&amp;N4," ","_"),DV_Helper!$A$1:$EX$1,0)-1,8,1)</xm:f>
          </x14:formula1>
          <xm:sqref>O4:O200</xm:sqref>
        </x14:dataValidation>
        <x14:dataValidation type="list" allowBlank="1" showErrorMessage="1">
          <x14:formula1>
            <xm:f>OFFSET(DV_Helper!$A$2,0,MATCH(SUBSTITUTE("Sem II_Screenwriting_"&amp;P4," ","_"),DV_Helper!$A$1:$EX$1,0)-1,8,1)</xm:f>
          </x14:formula1>
          <xm:sqref>Q4:Q200</xm:sqref>
        </x14:dataValidation>
        <x14:dataValidation type="list" allowBlank="1" showErrorMessage="1">
          <x14:formula1>
            <xm:f>OFFSET(DV_Helper!$A$2,0,MATCH(SUBSTITUTE("Sem II_Direction_"&amp;R4," ","_"),DV_Helper!$A$1:$EX$1,0)-1,8,1)</xm:f>
          </x14:formula1>
          <xm:sqref>S4:S200</xm:sqref>
        </x14:dataValidation>
        <x14:dataValidation type="list" allowBlank="1" showErrorMessage="1">
          <x14:formula1>
            <xm:f>OFFSET(DV_Helper!$A$2,0,MATCH(SUBSTITUTE("Sem II_Production_"&amp;T4," ","_"),DV_Helper!$A$1:$EX$1,0)-1,8,1)</xm:f>
          </x14:formula1>
          <xm:sqref>U4:U200</xm:sqref>
        </x14:dataValidation>
        <x14:dataValidation type="list" allowBlank="1" showErrorMessage="1">
          <x14:formula1>
            <xm:f>OFFSET(DV_Helper!$A$2,0,MATCH(SUBSTITUTE("Sem II_Cinematography_"&amp;V4," ","_"),DV_Helper!$A$1:$EX$1,0)-1,8,1)</xm:f>
          </x14:formula1>
          <xm:sqref>W4:W200</xm:sqref>
        </x14:dataValidation>
        <x14:dataValidation type="list" allowBlank="1" showErrorMessage="1">
          <x14:formula1>
            <xm:f>OFFSET(DV_Helper!$A$2,0,MATCH(SUBSTITUTE("Sem II_Sound_"&amp;X4," ","_"),DV_Helper!$A$1:$EX$1,0)-1,8,1)</xm:f>
          </x14:formula1>
          <xm:sqref>Y4:Y200</xm:sqref>
        </x14:dataValidation>
        <x14:dataValidation type="list" allowBlank="1" showErrorMessage="1">
          <x14:formula1>
            <xm:f>OFFSET(DV_Helper!$A$2,0,MATCH(SUBSTITUTE("Sem II_Editing_"&amp;Z4," ","_"),DV_Helper!$A$1:$EX$1,0)-1,8,1)</xm:f>
          </x14:formula1>
          <xm:sqref>AA4:AA200</xm:sqref>
        </x14:dataValidation>
        <x14:dataValidation type="list" allowBlank="1" showErrorMessage="1">
          <x14:formula1>
            <xm:f>OFFSET(DV_Helper!$A$2,0,MATCH(SUBSTITUTE("Sem III_"&amp;$C4&amp;"_"&amp;AB4," ","_"),DV_Helper!$A$1:$EX$1,0)-1,8,1)</xm:f>
          </x14:formula1>
          <xm:sqref>AC4:AC200</xm:sqref>
        </x14:dataValidation>
        <x14:dataValidation type="list" allowBlank="1" showErrorMessage="1">
          <x14:formula1>
            <xm:f>OFFSET(DV_Helper!$A$2,0,MATCH(SUBSTITUTE("Sem III_Direction_"&amp;AD4," ","_"),DV_Helper!$A$1:$EX$1,0)-1,8,1)</xm:f>
          </x14:formula1>
          <xm:sqref>AE4:AE200</xm:sqref>
        </x14:dataValidation>
        <x14:dataValidation type="list" allowBlank="1" showErrorMessage="1">
          <x14:formula1>
            <xm:f>OFFSET(DV_Helper!$A$2,0,MATCH(SUBSTITUTE("Sem III_Production_"&amp;AF4," ","_"),DV_Helper!$A$1:$EX$1,0)-1,8,1)</xm:f>
          </x14:formula1>
          <xm:sqref>AG4:AG200</xm:sqref>
        </x14:dataValidation>
        <x14:dataValidation type="list" allowBlank="1" showErrorMessage="1">
          <x14:formula1>
            <xm:f>OFFSET(DV_Helper!$A$2,0,MATCH(SUBSTITUTE("Sem IV_"&amp;$C4&amp;"_"&amp;AH4," ","_"),DV_Helper!$A$1:$EX$1,0)-1,8,1)</xm:f>
          </x14:formula1>
          <xm:sqref>AI4:AI200</xm:sqref>
        </x14:dataValidation>
        <x14:dataValidation type="list" allowBlank="1" showErrorMessage="1">
          <x14:formula1>
            <xm:f>OFFSET(DV_Helper!$A$2,0,MATCH(SUBSTITUTE("Sem IV_Direction_"&amp;AJ4," ","_"),DV_Helper!$A$1:$EX$1,0)-1,8,1)</xm:f>
          </x14:formula1>
          <xm:sqref>AK4:AK200</xm:sqref>
        </x14:dataValidation>
        <x14:dataValidation type="list" allowBlank="1" showErrorMessage="1">
          <x14:formula1>
            <xm:f>OFFSET(DV_Helper!$A$2,0,MATCH(SUBSTITUTE("Sem IV_Production_"&amp;AL4," ","_"),DV_Helper!$A$1:$EX$1,0)-1,8,1)</xm:f>
          </x14:formula1>
          <xm:sqref>AM4:AM200</xm:sqref>
        </x14:dataValidation>
        <x14:dataValidation type="list" allowBlank="1" showErrorMessage="1">
          <x14:formula1>
            <xm:f>OFFSET(DV_Helper!$A$2,0,MATCH(SUBSTITUTE("Sem V_"&amp;$C4&amp;"_"&amp;AN4," ","_"),DV_Helper!$A$1:$EX$1,0)-1,8,1)</xm:f>
          </x14:formula1>
          <xm:sqref>AO4:AO200</xm:sqref>
        </x14:dataValidation>
        <x14:dataValidation type="list" allowBlank="1" showErrorMessage="1">
          <x14:formula1>
            <xm:f>OFFSET(DV_Helper!$A$2,0,MATCH(SUBSTITUTE("Sem V_Direction_"&amp;AP4," ","_"),DV_Helper!$A$1:$EX$1,0)-1,8,1)</xm:f>
          </x14:formula1>
          <xm:sqref>AQ4:AQ200</xm:sqref>
        </x14:dataValidation>
        <x14:dataValidation type="list" allowBlank="1" showErrorMessage="1">
          <x14:formula1>
            <xm:f>OFFSET(DV_Helper!$A$2,0,MATCH(SUBSTITUTE("Sem V_Production_"&amp;AR4," ","_"),DV_Helper!$A$1:$EX$1,0)-1,8,1)</xm:f>
          </x14:formula1>
          <xm:sqref>AS4:AS200</xm:sqref>
        </x14:dataValidation>
        <x14:dataValidation type="list" allowBlank="1" showErrorMessage="1">
          <x14:formula1>
            <xm:f>OFFSET(DV_Helper!$A$2,0,MATCH(SUBSTITUTE("Sem VI_"&amp;$C4&amp;"_"&amp;AT4," ","_"),DV_Helper!$A$1:$EX$1,0)-1,8,1)</xm:f>
          </x14:formula1>
          <xm:sqref>AU4:AU200</xm:sqref>
        </x14:dataValidation>
        <x14:dataValidation type="list" allowBlank="1" showErrorMessage="1">
          <x14:formula1>
            <xm:f>OFFSET(DV_Helper!$A$2,0,MATCH(SUBSTITUTE("Sem VI_Direction_"&amp;AV4," ","_"),DV_Helper!$A$1:$EX$1,0)-1,8,1)</xm:f>
          </x14:formula1>
          <xm:sqref>AW4:AW200</xm:sqref>
        </x14:dataValidation>
        <x14:dataValidation type="list" allowBlank="1" showErrorMessage="1">
          <x14:formula1>
            <xm:f>OFFSET(DV_Helper!$A$2,0,MATCH(SUBSTITUTE("Sem VI_Production_"&amp;AX4," ","_"),DV_Helper!$A$1:$EX$1,0)-1,8,1)</xm:f>
          </x14:formula1>
          <xm:sqref>AY4:AY200</xm:sqref>
        </x14:dataValidation>
        <x14:dataValidation type="list">
          <x14:formula1>
            <xm:f>Lists!$A$1:$A$5</xm:f>
          </x14:formula1>
          <xm:sqref>C2:C200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selection activeCell="E23" sqref="E23"/>
    </sheetView>
  </sheetViews>
  <sheetFormatPr defaultRowHeight="14.4" x14ac:dyDescent="0.3"/>
  <cols>
    <col min="1" max="1" width="32.33203125" customWidth="1"/>
    <col min="2" max="2" width="19.5546875" customWidth="1"/>
    <col min="4" max="4" width="21.33203125" customWidth="1"/>
    <col min="5" max="5" width="16.5546875" customWidth="1"/>
    <col min="6" max="6" width="13.88671875" customWidth="1"/>
    <col min="7" max="7" width="15.5546875" customWidth="1"/>
  </cols>
  <sheetData>
    <row r="1" spans="1:7" ht="24.6" customHeight="1" x14ac:dyDescent="0.3">
      <c r="A1" s="37" t="s">
        <v>95</v>
      </c>
      <c r="B1" s="38"/>
      <c r="C1" s="38"/>
      <c r="D1" s="38"/>
      <c r="E1" s="38"/>
      <c r="F1" s="38"/>
      <c r="G1" s="38"/>
    </row>
    <row r="2" spans="1:7" x14ac:dyDescent="0.3">
      <c r="A2" s="42"/>
      <c r="B2" s="42"/>
      <c r="C2" s="42"/>
      <c r="D2" s="42"/>
      <c r="E2" s="42"/>
      <c r="F2" s="42"/>
      <c r="G2" s="42"/>
    </row>
    <row r="3" spans="1:7" x14ac:dyDescent="0.3">
      <c r="A3" s="27" t="s">
        <v>96</v>
      </c>
      <c r="B3" s="29">
        <v>1</v>
      </c>
      <c r="C3" s="34"/>
      <c r="D3" s="35"/>
      <c r="E3" s="36"/>
      <c r="F3" s="33"/>
      <c r="G3" s="33"/>
    </row>
    <row r="4" spans="1:7" ht="28.8" x14ac:dyDescent="0.3">
      <c r="A4" s="15" t="s">
        <v>2</v>
      </c>
      <c r="B4" s="28" t="str">
        <f>IFERROR(INDEX('Evaluation Sheet'!$A$4:$A$200,MATCH($B$3,'Evaluation Sheet'!$B$4:$B$200,0)),"")</f>
        <v>SRIRAM</v>
      </c>
      <c r="C4" s="23"/>
      <c r="D4" s="27" t="s">
        <v>4</v>
      </c>
      <c r="E4" s="28" t="str">
        <f>IFERROR(INDEX('Evaluation Sheet'!$C$4:$C$200,MATCH($B$3,'Evaluation Sheet'!$B$4:$B$200,0)),"")</f>
        <v>Cinematography</v>
      </c>
      <c r="F4" s="33"/>
      <c r="G4" s="33"/>
    </row>
    <row r="5" spans="1:7" x14ac:dyDescent="0.3">
      <c r="A5" s="15" t="s">
        <v>56</v>
      </c>
      <c r="B5" s="9">
        <f>IFERROR(INDEX('Evaluation Sheet'!$BC$4:$BC$200,MATCH($B$3,'Evaluation Sheet'!$B$4:$B$200,0)),"")</f>
        <v>57.291666666666664</v>
      </c>
      <c r="C5" s="23"/>
      <c r="D5" s="15" t="s">
        <v>57</v>
      </c>
      <c r="E5" s="9" t="str">
        <f>IFERROR(INDEX('Evaluation Sheet'!$BD$4:$BD$200,MATCH($B$3,'Evaluation Sheet'!$B$4:$B$200,0)),"")</f>
        <v>C</v>
      </c>
      <c r="F5" s="33"/>
      <c r="G5" s="33"/>
    </row>
    <row r="6" spans="1:7" x14ac:dyDescent="0.3">
      <c r="A6" s="15" t="s">
        <v>58</v>
      </c>
      <c r="B6" s="8">
        <f>IFERROR(INDEX('Evaluation Sheet'!$BE$4:$BE$200,MATCH($B$3,'Evaluation Sheet'!$B$4:$B$200,0)),"")</f>
        <v>0</v>
      </c>
      <c r="C6" s="24"/>
      <c r="D6" s="18"/>
      <c r="E6" s="18"/>
      <c r="F6" s="33"/>
      <c r="G6" s="33"/>
    </row>
    <row r="7" spans="1:7" x14ac:dyDescent="0.3">
      <c r="A7" s="40" t="s">
        <v>97</v>
      </c>
      <c r="B7" s="41"/>
      <c r="C7" s="41"/>
      <c r="D7" s="41"/>
      <c r="E7" s="41"/>
      <c r="F7" s="41"/>
      <c r="G7" s="41"/>
    </row>
    <row r="8" spans="1:7" x14ac:dyDescent="0.3">
      <c r="A8" s="26" t="s">
        <v>98</v>
      </c>
      <c r="B8" s="26" t="s">
        <v>99</v>
      </c>
      <c r="C8" s="26" t="s">
        <v>100</v>
      </c>
      <c r="D8" s="26" t="s">
        <v>101</v>
      </c>
      <c r="E8" s="26" t="s">
        <v>102</v>
      </c>
      <c r="F8" s="26" t="s">
        <v>103</v>
      </c>
      <c r="G8" s="26" t="s">
        <v>104</v>
      </c>
    </row>
    <row r="9" spans="1:7" x14ac:dyDescent="0.3">
      <c r="A9" s="12" t="s">
        <v>105</v>
      </c>
      <c r="B9" s="12" t="str">
        <f>IFERROR(INDEX('Evaluation Sheet'!$D$4:$D$200,MATCH($B$3,'Evaluation Sheet'!$B$4:$B$200,0)),"")</f>
        <v>C</v>
      </c>
      <c r="C9" s="12" t="str">
        <f>IFERROR(INDEX('Evaluation Sheet'!$F$4:$F$200,MATCH($B$3,'Evaluation Sheet'!$B$4:$B$200,0)),"")</f>
        <v>C</v>
      </c>
      <c r="D9" s="12" t="str">
        <f>IFERROR(INDEX('Evaluation Sheet'!$H$4:$H$200,MATCH($B$3,'Evaluation Sheet'!$B$4:$B$200,0)),"")</f>
        <v>A</v>
      </c>
      <c r="E9" s="12" t="str">
        <f>IFERROR(INDEX('Evaluation Sheet'!$J$4:$J$200,MATCH($B$3,'Evaluation Sheet'!$B$4:$B$200,0)),"")</f>
        <v>C</v>
      </c>
      <c r="F9" s="12" t="str">
        <f>IFERROR(INDEX('Evaluation Sheet'!$L$4:$L$200,MATCH($B$3,'Evaluation Sheet'!$B$4:$B$200,0)),"")</f>
        <v>D</v>
      </c>
      <c r="G9" s="12" t="str">
        <f>IFERROR(INDEX('Evaluation Sheet'!$N$4:$N$200,MATCH($B$3,'Evaluation Sheet'!$B$4:$B$200,0)),"")</f>
        <v>C</v>
      </c>
    </row>
    <row r="10" spans="1:7" x14ac:dyDescent="0.3">
      <c r="A10" s="12" t="s">
        <v>106</v>
      </c>
      <c r="B10" s="12" t="str">
        <f>IFERROR(INDEX('Evaluation Sheet'!$P$4:$P$200,MATCH($B$3,'Evaluation Sheet'!$B$4:$B$200,0)),"")</f>
        <v>C</v>
      </c>
      <c r="C10" s="12" t="str">
        <f>IFERROR(INDEX('Evaluation Sheet'!$R$4:$R$200,MATCH($B$3,'Evaluation Sheet'!$B$4:$B$200,0)),"")</f>
        <v>D</v>
      </c>
      <c r="D10" s="12" t="str">
        <f>IFERROR(INDEX('Evaluation Sheet'!$T$4:$T$200,MATCH($B$3,'Evaluation Sheet'!$B$4:$B$200,0)),"")</f>
        <v>D</v>
      </c>
      <c r="E10" s="12" t="str">
        <f>IFERROR(INDEX('Evaluation Sheet'!$V$4:$V$200,MATCH($B$3,'Evaluation Sheet'!$B$4:$B$200,0)),"")</f>
        <v>B</v>
      </c>
      <c r="F10" s="12" t="str">
        <f>IFERROR(INDEX('Evaluation Sheet'!$X$4:$X$200,MATCH($B$3,'Evaluation Sheet'!$B$4:$B$200,0)),"")</f>
        <v>C</v>
      </c>
      <c r="G10" s="12" t="str">
        <f>IFERROR(INDEX('Evaluation Sheet'!$Z$4:$Z$200,MATCH($B$3,'Evaluation Sheet'!$B$4:$B$200,0)),"")</f>
        <v>C</v>
      </c>
    </row>
    <row r="11" spans="1:7" x14ac:dyDescent="0.3">
      <c r="A11" s="18"/>
      <c r="B11" s="13"/>
      <c r="C11" s="13"/>
      <c r="D11" s="13"/>
      <c r="E11" s="13"/>
      <c r="F11" s="13"/>
      <c r="G11" s="13"/>
    </row>
    <row r="12" spans="1:7" x14ac:dyDescent="0.3">
      <c r="A12" s="10" t="s">
        <v>107</v>
      </c>
      <c r="B12" s="14"/>
      <c r="C12" s="14"/>
      <c r="D12" s="14"/>
      <c r="E12" s="14"/>
      <c r="F12" s="14"/>
      <c r="G12" s="14"/>
    </row>
    <row r="13" spans="1:7" ht="28.8" x14ac:dyDescent="0.3">
      <c r="A13" s="26" t="s">
        <v>98</v>
      </c>
      <c r="B13" s="26" t="s">
        <v>108</v>
      </c>
      <c r="C13" s="26" t="s">
        <v>100</v>
      </c>
      <c r="D13" s="26" t="s">
        <v>101</v>
      </c>
      <c r="E13" s="26" t="s">
        <v>109</v>
      </c>
      <c r="F13" s="26" t="s">
        <v>110</v>
      </c>
      <c r="G13" s="26" t="s">
        <v>111</v>
      </c>
    </row>
    <row r="14" spans="1:7" x14ac:dyDescent="0.3">
      <c r="A14" s="12" t="s">
        <v>112</v>
      </c>
      <c r="B14" s="12" t="str">
        <f>IFERROR(INDEX('Evaluation Sheet'!$AB$4:$AB$200,MATCH($B$3,'Evaluation Sheet'!$B$4:$B$200,0)),"")</f>
        <v>A</v>
      </c>
      <c r="C14" s="12" t="str">
        <f>IFERROR(INDEX('Evaluation Sheet'!$AD$4:$AD$200,MATCH($B$3,'Evaluation Sheet'!$B$4:$B$200,0)),"")</f>
        <v>A</v>
      </c>
      <c r="D14" s="12" t="str">
        <f>IFERROR(INDEX('Evaluation Sheet'!$AF$4:$AF$200,MATCH($B$3,'Evaluation Sheet'!$B$4:$B$200,0)),"")</f>
        <v>B</v>
      </c>
      <c r="E14" s="19"/>
      <c r="F14" s="19"/>
      <c r="G14" s="19"/>
    </row>
    <row r="15" spans="1:7" x14ac:dyDescent="0.3">
      <c r="A15" s="12" t="s">
        <v>113</v>
      </c>
      <c r="B15" s="12" t="str">
        <f>IFERROR(INDEX('Evaluation Sheet'!$AH$4:$AH$200,MATCH($B$3,'Evaluation Sheet'!$B$4:$B$200,0)),"")</f>
        <v>D</v>
      </c>
      <c r="C15" s="12" t="str">
        <f>IFERROR(INDEX('Evaluation Sheet'!$AJ$4:$AJ$200,MATCH($B$3,'Evaluation Sheet'!$B$4:$B$200,0)),"")</f>
        <v>A</v>
      </c>
      <c r="D15" s="12" t="str">
        <f>IFERROR(INDEX('Evaluation Sheet'!$AL$4:$AL$200,MATCH($B$3,'Evaluation Sheet'!$B$4:$B$200,0)),"")</f>
        <v>B</v>
      </c>
      <c r="E15" s="19"/>
      <c r="F15" s="19"/>
      <c r="G15" s="19"/>
    </row>
    <row r="16" spans="1:7" x14ac:dyDescent="0.3">
      <c r="A16" s="12" t="s">
        <v>114</v>
      </c>
      <c r="B16" s="12" t="str">
        <f>IFERROR(INDEX('Evaluation Sheet'!$AN$4:$AN$200,MATCH($B$3,'Evaluation Sheet'!$B$4:$B$200,0)),"")</f>
        <v>C</v>
      </c>
      <c r="C16" s="12" t="str">
        <f>IFERROR(INDEX('Evaluation Sheet'!$AP$4:$AP$200,MATCH($B$3,'Evaluation Sheet'!$B$4:$B$200,0)),"")</f>
        <v>A</v>
      </c>
      <c r="D16" s="12" t="str">
        <f>IFERROR(INDEX('Evaluation Sheet'!$AR$4:$AR$200,MATCH($B$3,'Evaluation Sheet'!$B$4:$B$200,0)),"")</f>
        <v>D</v>
      </c>
      <c r="E16" s="19"/>
      <c r="F16" s="19"/>
      <c r="G16" s="19"/>
    </row>
    <row r="17" spans="1:7" x14ac:dyDescent="0.3">
      <c r="A17" s="12" t="s">
        <v>115</v>
      </c>
      <c r="B17" s="12" t="str">
        <f>IFERROR(INDEX('Evaluation Sheet'!$AT$4:$AT$200,MATCH($B$3,'Evaluation Sheet'!$B$4:$B$200,0)),"")</f>
        <v>D</v>
      </c>
      <c r="C17" s="12" t="str">
        <f>IFERROR(INDEX('Evaluation Sheet'!$AV$4:$AV$200,MATCH($B$3,'Evaluation Sheet'!$B$4:$B$200,0)),"")</f>
        <v>C</v>
      </c>
      <c r="D17" s="12" t="str">
        <f>IFERROR(INDEX('Evaluation Sheet'!$AX$4:$AX$200,MATCH($B$3,'Evaluation Sheet'!$B$4:$B$200,0)),"")</f>
        <v>C</v>
      </c>
      <c r="E17" s="19"/>
      <c r="F17" s="19"/>
      <c r="G17" s="19"/>
    </row>
    <row r="18" spans="1:7" x14ac:dyDescent="0.3">
      <c r="A18" s="18"/>
      <c r="B18" s="18"/>
      <c r="C18" s="18"/>
      <c r="D18" s="18"/>
      <c r="E18" s="18"/>
      <c r="F18" s="18"/>
      <c r="G18" s="18"/>
    </row>
    <row r="19" spans="1:7" x14ac:dyDescent="0.3">
      <c r="A19" s="10" t="s">
        <v>116</v>
      </c>
      <c r="B19" s="11"/>
      <c r="C19" s="11"/>
      <c r="D19" s="11"/>
      <c r="E19" s="11"/>
      <c r="F19" s="11"/>
      <c r="G19" s="11"/>
    </row>
    <row r="20" spans="1:7" x14ac:dyDescent="0.3">
      <c r="A20" s="15" t="s">
        <v>53</v>
      </c>
      <c r="B20" s="39" t="str">
        <f>IF($B$3="","",INDEX('Evaluation Sheet'!$AZ$4:$AZ$204,MATCH($B$3,'Evaluation Sheet'!$B$4:$B$204,0)))</f>
        <v>Indicates basic narrative sensitivity, though consistency against professional readiness and final output expectations needs improvement.</v>
      </c>
      <c r="C20" s="39"/>
      <c r="D20" s="39"/>
      <c r="E20" s="39"/>
      <c r="F20" s="39"/>
      <c r="G20" s="39"/>
    </row>
    <row r="21" spans="1:7" x14ac:dyDescent="0.3">
      <c r="A21" s="15" t="s">
        <v>54</v>
      </c>
      <c r="B21" s="39" t="str">
        <f>IF($B$3="","",INDEX('Evaluation Sheet'!$BA$4:$BA$204,MATCH($B$3,'Evaluation Sheet'!$B$4:$B$204,0)))</f>
        <v>Needs stronger control over tool command to meet professional readiness and final output expectations more consistently.</v>
      </c>
      <c r="C21" s="39"/>
      <c r="D21" s="39"/>
      <c r="E21" s="39"/>
      <c r="F21" s="39"/>
      <c r="G21" s="39"/>
    </row>
    <row r="22" spans="1:7" x14ac:dyDescent="0.3">
      <c r="A22" s="15" t="s">
        <v>55</v>
      </c>
      <c r="B22" s="39" t="str">
        <f>IF($B$3="","",INDEX('Evaluation Sheet'!$BB$4:$BB$204,MATCH($B$3,'Evaluation Sheet'!$B$4:$B$204,0)))</f>
        <v>Requires better control over professional attitude to meet professional readiness and final output expectations more consistently.</v>
      </c>
      <c r="C22" s="39"/>
      <c r="D22" s="39"/>
      <c r="E22" s="39"/>
      <c r="F22" s="39"/>
      <c r="G22" s="39"/>
    </row>
  </sheetData>
  <mergeCells count="8">
    <mergeCell ref="B22:G22"/>
    <mergeCell ref="A7:G7"/>
    <mergeCell ref="A2:G2"/>
    <mergeCell ref="F3:G6"/>
    <mergeCell ref="C3:E3"/>
    <mergeCell ref="A1:G1"/>
    <mergeCell ref="B20:G20"/>
    <mergeCell ref="B21:G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heetViews>
  <sheetFormatPr defaultRowHeight="14.4" x14ac:dyDescent="0.3"/>
  <cols>
    <col min="1" max="1" width="120" style="17" customWidth="1"/>
  </cols>
  <sheetData>
    <row r="1" spans="1:1" ht="18" customHeight="1" x14ac:dyDescent="0.35">
      <c r="A1" s="1" t="s">
        <v>117</v>
      </c>
    </row>
    <row r="2" spans="1:1" x14ac:dyDescent="0.3">
      <c r="A2" t="s">
        <v>118</v>
      </c>
    </row>
    <row r="3" spans="1:1" x14ac:dyDescent="0.3">
      <c r="A3" s="2" t="s">
        <v>119</v>
      </c>
    </row>
    <row r="4" spans="1:1" x14ac:dyDescent="0.3">
      <c r="A4" t="s">
        <v>120</v>
      </c>
    </row>
    <row r="5" spans="1:1" x14ac:dyDescent="0.3">
      <c r="A5" t="s">
        <v>121</v>
      </c>
    </row>
    <row r="6" spans="1:1" x14ac:dyDescent="0.3">
      <c r="A6" t="s">
        <v>122</v>
      </c>
    </row>
    <row r="7" spans="1:1" x14ac:dyDescent="0.3">
      <c r="A7" t="s">
        <v>123</v>
      </c>
    </row>
    <row r="9" spans="1:1" x14ac:dyDescent="0.3">
      <c r="A9" s="2" t="s">
        <v>124</v>
      </c>
    </row>
    <row r="10" spans="1:1" x14ac:dyDescent="0.3">
      <c r="A10" t="s">
        <v>125</v>
      </c>
    </row>
    <row r="12" spans="1:1" x14ac:dyDescent="0.3">
      <c r="A12" s="2" t="s">
        <v>126</v>
      </c>
    </row>
    <row r="13" spans="1:1" x14ac:dyDescent="0.3">
      <c r="A13" t="s">
        <v>127</v>
      </c>
    </row>
    <row r="14" spans="1:1" x14ac:dyDescent="0.3">
      <c r="A14" t="s">
        <v>128</v>
      </c>
    </row>
    <row r="15" spans="1:1" x14ac:dyDescent="0.3">
      <c r="A15" t="s">
        <v>129</v>
      </c>
    </row>
    <row r="16" spans="1:1" x14ac:dyDescent="0.3">
      <c r="A16" t="s">
        <v>130</v>
      </c>
    </row>
    <row r="17" spans="1:1" x14ac:dyDescent="0.3">
      <c r="A17" t="s">
        <v>131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U9"/>
  <sheetViews>
    <sheetView workbookViewId="0"/>
  </sheetViews>
  <sheetFormatPr defaultRowHeight="14.4" x14ac:dyDescent="0.3"/>
  <cols>
    <col min="6" max="177" width="35" style="17" customWidth="1"/>
  </cols>
  <sheetData>
    <row r="1" spans="1:177" x14ac:dyDescent="0.3">
      <c r="A1" t="s">
        <v>99</v>
      </c>
      <c r="C1" t="s">
        <v>132</v>
      </c>
      <c r="F1" s="3" t="s">
        <v>133</v>
      </c>
      <c r="G1" s="3" t="s">
        <v>134</v>
      </c>
      <c r="H1" s="3" t="s">
        <v>135</v>
      </c>
      <c r="I1" s="3" t="s">
        <v>136</v>
      </c>
      <c r="J1" s="3" t="s">
        <v>137</v>
      </c>
      <c r="K1" s="3" t="s">
        <v>138</v>
      </c>
      <c r="L1" s="3" t="s">
        <v>139</v>
      </c>
      <c r="M1" s="3" t="s">
        <v>140</v>
      </c>
      <c r="N1" s="3" t="s">
        <v>141</v>
      </c>
      <c r="O1" s="3" t="s">
        <v>142</v>
      </c>
      <c r="P1" s="3" t="s">
        <v>143</v>
      </c>
      <c r="Q1" s="3" t="s">
        <v>144</v>
      </c>
      <c r="R1" s="3" t="s">
        <v>145</v>
      </c>
      <c r="S1" s="3" t="s">
        <v>146</v>
      </c>
      <c r="T1" s="3" t="s">
        <v>147</v>
      </c>
      <c r="U1" s="3" t="s">
        <v>148</v>
      </c>
      <c r="V1" s="3" t="s">
        <v>149</v>
      </c>
      <c r="W1" s="3" t="s">
        <v>150</v>
      </c>
      <c r="X1" s="3" t="s">
        <v>151</v>
      </c>
      <c r="Y1" s="3" t="s">
        <v>152</v>
      </c>
      <c r="Z1" s="3" t="s">
        <v>153</v>
      </c>
      <c r="AA1" s="3" t="s">
        <v>154</v>
      </c>
      <c r="AB1" s="3" t="s">
        <v>155</v>
      </c>
      <c r="AC1" s="3" t="s">
        <v>156</v>
      </c>
      <c r="AD1" s="3" t="s">
        <v>157</v>
      </c>
      <c r="AE1" s="3" t="s">
        <v>158</v>
      </c>
      <c r="AF1" s="3" t="s">
        <v>159</v>
      </c>
      <c r="AG1" s="3" t="s">
        <v>160</v>
      </c>
      <c r="AH1" s="3" t="s">
        <v>161</v>
      </c>
      <c r="AI1" s="3" t="s">
        <v>162</v>
      </c>
      <c r="AJ1" s="3" t="s">
        <v>163</v>
      </c>
      <c r="AK1" s="3" t="s">
        <v>164</v>
      </c>
      <c r="AL1" s="3" t="s">
        <v>165</v>
      </c>
      <c r="AM1" s="3" t="s">
        <v>166</v>
      </c>
      <c r="AN1" s="3" t="s">
        <v>167</v>
      </c>
      <c r="AO1" s="3" t="s">
        <v>168</v>
      </c>
      <c r="AP1" s="3" t="s">
        <v>169</v>
      </c>
      <c r="AQ1" s="3" t="s">
        <v>170</v>
      </c>
      <c r="AR1" s="3" t="s">
        <v>171</v>
      </c>
      <c r="AS1" s="3" t="s">
        <v>172</v>
      </c>
      <c r="AT1" s="3" t="s">
        <v>173</v>
      </c>
      <c r="AU1" s="3" t="s">
        <v>174</v>
      </c>
      <c r="AV1" s="3" t="s">
        <v>175</v>
      </c>
      <c r="AW1" s="3" t="s">
        <v>176</v>
      </c>
      <c r="AX1" s="3" t="s">
        <v>177</v>
      </c>
      <c r="AY1" s="3" t="s">
        <v>178</v>
      </c>
      <c r="AZ1" s="3" t="s">
        <v>179</v>
      </c>
      <c r="BA1" s="3" t="s">
        <v>180</v>
      </c>
      <c r="BB1" s="3" t="s">
        <v>181</v>
      </c>
      <c r="BC1" s="3" t="s">
        <v>182</v>
      </c>
      <c r="BD1" s="3" t="s">
        <v>183</v>
      </c>
      <c r="BE1" s="3" t="s">
        <v>184</v>
      </c>
      <c r="BF1" s="3" t="s">
        <v>185</v>
      </c>
      <c r="BG1" s="3" t="s">
        <v>186</v>
      </c>
      <c r="BH1" s="3" t="s">
        <v>187</v>
      </c>
      <c r="BI1" s="3" t="s">
        <v>188</v>
      </c>
      <c r="BJ1" s="3" t="s">
        <v>189</v>
      </c>
      <c r="BK1" s="3" t="s">
        <v>190</v>
      </c>
      <c r="BL1" s="3" t="s">
        <v>191</v>
      </c>
      <c r="BM1" s="3" t="s">
        <v>192</v>
      </c>
      <c r="BN1" s="3" t="s">
        <v>193</v>
      </c>
      <c r="BO1" s="3" t="s">
        <v>194</v>
      </c>
      <c r="BP1" s="3" t="s">
        <v>195</v>
      </c>
      <c r="BQ1" s="3" t="s">
        <v>196</v>
      </c>
      <c r="BR1" s="3" t="s">
        <v>197</v>
      </c>
      <c r="BS1" s="3" t="s">
        <v>198</v>
      </c>
      <c r="BT1" s="3" t="s">
        <v>199</v>
      </c>
      <c r="BU1" s="3" t="s">
        <v>200</v>
      </c>
      <c r="BV1" s="3" t="s">
        <v>201</v>
      </c>
      <c r="BW1" s="3" t="s">
        <v>202</v>
      </c>
      <c r="BX1" s="3" t="s">
        <v>203</v>
      </c>
      <c r="BY1" s="3" t="s">
        <v>204</v>
      </c>
      <c r="BZ1" s="3" t="s">
        <v>205</v>
      </c>
      <c r="CA1" s="3" t="s">
        <v>206</v>
      </c>
      <c r="CB1" s="3" t="s">
        <v>207</v>
      </c>
      <c r="CC1" s="3" t="s">
        <v>208</v>
      </c>
      <c r="CD1" s="3" t="s">
        <v>209</v>
      </c>
      <c r="CE1" s="3" t="s">
        <v>210</v>
      </c>
      <c r="CF1" s="3" t="s">
        <v>211</v>
      </c>
      <c r="CG1" s="3" t="s">
        <v>212</v>
      </c>
      <c r="CH1" s="3" t="s">
        <v>213</v>
      </c>
      <c r="CI1" s="3" t="s">
        <v>214</v>
      </c>
      <c r="CJ1" s="3" t="s">
        <v>215</v>
      </c>
      <c r="CK1" s="3" t="s">
        <v>216</v>
      </c>
      <c r="CL1" s="3" t="s">
        <v>217</v>
      </c>
      <c r="CM1" s="3" t="s">
        <v>218</v>
      </c>
      <c r="CN1" s="3" t="s">
        <v>219</v>
      </c>
      <c r="CO1" s="3" t="s">
        <v>220</v>
      </c>
      <c r="CP1" s="3" t="s">
        <v>221</v>
      </c>
      <c r="CQ1" s="3" t="s">
        <v>222</v>
      </c>
      <c r="CR1" s="3" t="s">
        <v>223</v>
      </c>
      <c r="CS1" s="3" t="s">
        <v>224</v>
      </c>
      <c r="CT1" s="3" t="s">
        <v>225</v>
      </c>
      <c r="CU1" s="3" t="s">
        <v>226</v>
      </c>
      <c r="CV1" s="3" t="s">
        <v>227</v>
      </c>
      <c r="CW1" s="3" t="s">
        <v>228</v>
      </c>
      <c r="CX1" s="3" t="s">
        <v>229</v>
      </c>
      <c r="CY1" s="3" t="s">
        <v>230</v>
      </c>
      <c r="CZ1" s="3" t="s">
        <v>231</v>
      </c>
      <c r="DA1" s="3" t="s">
        <v>232</v>
      </c>
      <c r="DB1" s="3" t="s">
        <v>233</v>
      </c>
      <c r="DC1" s="3" t="s">
        <v>234</v>
      </c>
      <c r="DD1" s="3" t="s">
        <v>235</v>
      </c>
      <c r="DE1" s="3" t="s">
        <v>236</v>
      </c>
      <c r="DF1" s="3" t="s">
        <v>237</v>
      </c>
      <c r="DG1" s="3" t="s">
        <v>238</v>
      </c>
      <c r="DH1" s="3" t="s">
        <v>239</v>
      </c>
      <c r="DI1" s="3" t="s">
        <v>240</v>
      </c>
      <c r="DJ1" s="3" t="s">
        <v>241</v>
      </c>
      <c r="DK1" s="3" t="s">
        <v>242</v>
      </c>
      <c r="DL1" s="3" t="s">
        <v>243</v>
      </c>
      <c r="DM1" s="3" t="s">
        <v>244</v>
      </c>
      <c r="DN1" s="3" t="s">
        <v>245</v>
      </c>
      <c r="DO1" s="3" t="s">
        <v>246</v>
      </c>
      <c r="DP1" s="3" t="s">
        <v>247</v>
      </c>
      <c r="DQ1" s="3" t="s">
        <v>248</v>
      </c>
      <c r="DR1" s="3" t="s">
        <v>249</v>
      </c>
      <c r="DS1" s="3" t="s">
        <v>250</v>
      </c>
      <c r="DT1" s="3" t="s">
        <v>251</v>
      </c>
      <c r="DU1" s="3" t="s">
        <v>252</v>
      </c>
      <c r="DV1" s="3" t="s">
        <v>253</v>
      </c>
      <c r="DW1" s="3" t="s">
        <v>254</v>
      </c>
      <c r="DX1" s="3" t="s">
        <v>255</v>
      </c>
      <c r="DY1" s="3" t="s">
        <v>256</v>
      </c>
      <c r="DZ1" s="3" t="s">
        <v>257</v>
      </c>
      <c r="EA1" s="3" t="s">
        <v>258</v>
      </c>
      <c r="EB1" s="3" t="s">
        <v>259</v>
      </c>
      <c r="EC1" s="3" t="s">
        <v>260</v>
      </c>
      <c r="ED1" s="3" t="s">
        <v>261</v>
      </c>
      <c r="EE1" s="3" t="s">
        <v>262</v>
      </c>
      <c r="EF1" s="3" t="s">
        <v>263</v>
      </c>
      <c r="EG1" s="3" t="s">
        <v>264</v>
      </c>
      <c r="EH1" s="3" t="s">
        <v>265</v>
      </c>
      <c r="EI1" s="3" t="s">
        <v>266</v>
      </c>
      <c r="EJ1" s="3" t="s">
        <v>267</v>
      </c>
      <c r="EK1" s="3" t="s">
        <v>268</v>
      </c>
      <c r="EL1" s="3" t="s">
        <v>269</v>
      </c>
      <c r="EM1" s="3" t="s">
        <v>270</v>
      </c>
      <c r="EN1" s="3" t="s">
        <v>271</v>
      </c>
      <c r="EO1" s="3" t="s">
        <v>272</v>
      </c>
      <c r="EP1" s="3" t="s">
        <v>273</v>
      </c>
      <c r="EQ1" s="3" t="s">
        <v>274</v>
      </c>
      <c r="ER1" s="3" t="s">
        <v>275</v>
      </c>
      <c r="ES1" s="3" t="s">
        <v>276</v>
      </c>
      <c r="ET1" s="3" t="s">
        <v>277</v>
      </c>
      <c r="EU1" s="3" t="s">
        <v>278</v>
      </c>
      <c r="EV1" s="3" t="s">
        <v>279</v>
      </c>
      <c r="EW1" s="3" t="s">
        <v>280</v>
      </c>
      <c r="EX1" s="3" t="s">
        <v>281</v>
      </c>
      <c r="EY1" s="3" t="s">
        <v>282</v>
      </c>
      <c r="EZ1" s="3" t="s">
        <v>283</v>
      </c>
      <c r="FA1" s="3" t="s">
        <v>284</v>
      </c>
      <c r="FB1" s="3" t="s">
        <v>285</v>
      </c>
      <c r="FC1" s="3" t="s">
        <v>286</v>
      </c>
      <c r="FD1" s="3" t="s">
        <v>287</v>
      </c>
      <c r="FE1" s="3" t="s">
        <v>288</v>
      </c>
      <c r="FF1" s="3" t="s">
        <v>289</v>
      </c>
      <c r="FG1" s="3" t="s">
        <v>290</v>
      </c>
      <c r="FH1" s="3" t="s">
        <v>291</v>
      </c>
      <c r="FI1" s="3" t="s">
        <v>292</v>
      </c>
      <c r="FJ1" s="3" t="s">
        <v>293</v>
      </c>
      <c r="FK1" s="3" t="s">
        <v>294</v>
      </c>
      <c r="FL1" s="3" t="s">
        <v>295</v>
      </c>
      <c r="FM1" s="3" t="s">
        <v>296</v>
      </c>
      <c r="FN1" s="3" t="s">
        <v>297</v>
      </c>
      <c r="FO1" s="3" t="s">
        <v>298</v>
      </c>
      <c r="FP1" s="3" t="s">
        <v>299</v>
      </c>
      <c r="FQ1" s="3" t="s">
        <v>300</v>
      </c>
      <c r="FR1" s="3" t="s">
        <v>301</v>
      </c>
      <c r="FS1" s="3" t="s">
        <v>302</v>
      </c>
      <c r="FT1" s="3" t="s">
        <v>303</v>
      </c>
      <c r="FU1" s="3" t="s">
        <v>304</v>
      </c>
    </row>
    <row r="2" spans="1:177" ht="158.4" customHeight="1" x14ac:dyDescent="0.3">
      <c r="A2" t="s">
        <v>60</v>
      </c>
      <c r="C2" t="s">
        <v>64</v>
      </c>
      <c r="F2" s="16" t="s">
        <v>305</v>
      </c>
      <c r="G2" s="16" t="s">
        <v>306</v>
      </c>
      <c r="H2" s="16" t="s">
        <v>65</v>
      </c>
      <c r="I2" s="16" t="s">
        <v>307</v>
      </c>
      <c r="J2" s="16" t="s">
        <v>308</v>
      </c>
      <c r="K2" s="16" t="s">
        <v>309</v>
      </c>
      <c r="L2" s="16" t="s">
        <v>310</v>
      </c>
      <c r="M2" s="16" t="s">
        <v>311</v>
      </c>
      <c r="N2" s="16" t="s">
        <v>312</v>
      </c>
      <c r="O2" s="16" t="s">
        <v>313</v>
      </c>
      <c r="P2" s="16" t="s">
        <v>314</v>
      </c>
      <c r="Q2" s="16" t="s">
        <v>315</v>
      </c>
      <c r="R2" s="16" t="s">
        <v>316</v>
      </c>
      <c r="S2" s="16" t="s">
        <v>317</v>
      </c>
      <c r="T2" s="16" t="s">
        <v>318</v>
      </c>
      <c r="U2" s="16" t="s">
        <v>319</v>
      </c>
      <c r="V2" s="16" t="s">
        <v>320</v>
      </c>
      <c r="W2" s="16" t="s">
        <v>321</v>
      </c>
      <c r="X2" s="16" t="s">
        <v>322</v>
      </c>
      <c r="Y2" s="16" t="s">
        <v>323</v>
      </c>
      <c r="Z2" s="16" t="s">
        <v>324</v>
      </c>
      <c r="AA2" s="16" t="s">
        <v>325</v>
      </c>
      <c r="AB2" s="16" t="s">
        <v>326</v>
      </c>
      <c r="AC2" s="16" t="s">
        <v>327</v>
      </c>
      <c r="AD2" s="16" t="s">
        <v>328</v>
      </c>
      <c r="AE2" s="16" t="s">
        <v>329</v>
      </c>
      <c r="AF2" s="16" t="s">
        <v>330</v>
      </c>
      <c r="AG2" s="16" t="s">
        <v>331</v>
      </c>
      <c r="AH2" s="16" t="s">
        <v>332</v>
      </c>
      <c r="AI2" s="16" t="s">
        <v>333</v>
      </c>
      <c r="AJ2" s="16" t="s">
        <v>334</v>
      </c>
      <c r="AK2" s="16" t="s">
        <v>335</v>
      </c>
      <c r="AL2" s="16" t="s">
        <v>336</v>
      </c>
      <c r="AM2" s="16" t="s">
        <v>337</v>
      </c>
      <c r="AN2" s="16" t="s">
        <v>338</v>
      </c>
      <c r="AO2" s="16" t="s">
        <v>339</v>
      </c>
      <c r="AP2" s="16" t="s">
        <v>340</v>
      </c>
      <c r="AQ2" s="16" t="s">
        <v>341</v>
      </c>
      <c r="AR2" s="16" t="s">
        <v>342</v>
      </c>
      <c r="AS2" s="16" t="s">
        <v>343</v>
      </c>
      <c r="AT2" s="16" t="s">
        <v>344</v>
      </c>
      <c r="AU2" s="16" t="s">
        <v>345</v>
      </c>
      <c r="AV2" s="16" t="s">
        <v>346</v>
      </c>
      <c r="AW2" s="16" t="s">
        <v>347</v>
      </c>
      <c r="AX2" s="16" t="s">
        <v>72</v>
      </c>
      <c r="AY2" s="16" t="s">
        <v>348</v>
      </c>
      <c r="AZ2" s="16" t="s">
        <v>349</v>
      </c>
      <c r="BA2" s="16" t="s">
        <v>350</v>
      </c>
      <c r="BB2" s="16" t="s">
        <v>78</v>
      </c>
      <c r="BC2" s="16" t="s">
        <v>351</v>
      </c>
      <c r="BD2" s="16" t="s">
        <v>352</v>
      </c>
      <c r="BE2" s="16" t="s">
        <v>77</v>
      </c>
      <c r="BF2" s="16" t="s">
        <v>353</v>
      </c>
      <c r="BG2" s="16" t="s">
        <v>354</v>
      </c>
      <c r="BH2" s="16" t="s">
        <v>355</v>
      </c>
      <c r="BI2" s="16" t="s">
        <v>356</v>
      </c>
      <c r="BJ2" s="16" t="s">
        <v>79</v>
      </c>
      <c r="BK2" s="16" t="s">
        <v>357</v>
      </c>
      <c r="BL2" s="16" t="s">
        <v>358</v>
      </c>
      <c r="BM2" s="16" t="s">
        <v>359</v>
      </c>
      <c r="BN2" s="16" t="s">
        <v>360</v>
      </c>
      <c r="BO2" s="16" t="s">
        <v>361</v>
      </c>
      <c r="BP2" s="16" t="s">
        <v>362</v>
      </c>
      <c r="BQ2" s="16" t="s">
        <v>363</v>
      </c>
      <c r="BR2" s="16" t="s">
        <v>364</v>
      </c>
      <c r="BS2" s="16" t="s">
        <v>365</v>
      </c>
      <c r="BT2" s="16" t="s">
        <v>366</v>
      </c>
      <c r="BU2" s="16" t="s">
        <v>367</v>
      </c>
      <c r="BV2" s="16" t="s">
        <v>368</v>
      </c>
      <c r="BW2" s="16" t="s">
        <v>369</v>
      </c>
      <c r="BX2" s="16" t="s">
        <v>370</v>
      </c>
      <c r="BY2" s="16" t="s">
        <v>371</v>
      </c>
      <c r="BZ2" s="16" t="s">
        <v>372</v>
      </c>
      <c r="CA2" s="16" t="s">
        <v>373</v>
      </c>
      <c r="CB2" s="16" t="s">
        <v>374</v>
      </c>
      <c r="CC2" s="16" t="s">
        <v>375</v>
      </c>
      <c r="CD2" s="16" t="s">
        <v>376</v>
      </c>
      <c r="CE2" s="16" t="s">
        <v>377</v>
      </c>
      <c r="CF2" s="16" t="s">
        <v>378</v>
      </c>
      <c r="CG2" s="16" t="s">
        <v>379</v>
      </c>
      <c r="CH2" s="16" t="s">
        <v>380</v>
      </c>
      <c r="CI2" s="16" t="s">
        <v>381</v>
      </c>
      <c r="CJ2" s="16" t="s">
        <v>382</v>
      </c>
      <c r="CK2" s="16" t="s">
        <v>383</v>
      </c>
      <c r="CL2" s="16" t="s">
        <v>82</v>
      </c>
      <c r="CM2" s="16" t="s">
        <v>384</v>
      </c>
      <c r="CN2" s="16" t="s">
        <v>385</v>
      </c>
      <c r="CO2" s="16" t="s">
        <v>386</v>
      </c>
      <c r="CP2" s="16" t="s">
        <v>387</v>
      </c>
      <c r="CQ2" s="16" t="s">
        <v>388</v>
      </c>
      <c r="CR2" s="16" t="s">
        <v>389</v>
      </c>
      <c r="CS2" s="16" t="s">
        <v>390</v>
      </c>
      <c r="CT2" s="16" t="s">
        <v>391</v>
      </c>
      <c r="CU2" s="16" t="s">
        <v>392</v>
      </c>
      <c r="CV2" s="16" t="s">
        <v>393</v>
      </c>
      <c r="CW2" s="16" t="s">
        <v>394</v>
      </c>
      <c r="CX2" s="16" t="s">
        <v>395</v>
      </c>
      <c r="CY2" s="16" t="s">
        <v>396</v>
      </c>
      <c r="CZ2" s="16" t="s">
        <v>397</v>
      </c>
      <c r="DA2" s="16" t="s">
        <v>398</v>
      </c>
      <c r="DB2" s="16" t="s">
        <v>399</v>
      </c>
      <c r="DC2" s="16" t="s">
        <v>400</v>
      </c>
      <c r="DD2" s="16" t="s">
        <v>401</v>
      </c>
      <c r="DE2" s="16" t="s">
        <v>402</v>
      </c>
      <c r="DF2" s="16" t="s">
        <v>403</v>
      </c>
      <c r="DG2" s="16" t="s">
        <v>404</v>
      </c>
      <c r="DH2" s="16" t="s">
        <v>405</v>
      </c>
      <c r="DI2" s="16" t="s">
        <v>406</v>
      </c>
      <c r="DJ2" s="16" t="s">
        <v>407</v>
      </c>
      <c r="DK2" s="16" t="s">
        <v>408</v>
      </c>
      <c r="DL2" s="16" t="s">
        <v>409</v>
      </c>
      <c r="DM2" s="16" t="s">
        <v>410</v>
      </c>
      <c r="DN2" s="16" t="s">
        <v>411</v>
      </c>
      <c r="DO2" s="16" t="s">
        <v>412</v>
      </c>
      <c r="DP2" s="16" t="s">
        <v>413</v>
      </c>
      <c r="DQ2" s="16" t="s">
        <v>414</v>
      </c>
      <c r="DR2" s="16" t="s">
        <v>415</v>
      </c>
      <c r="DS2" s="16" t="s">
        <v>416</v>
      </c>
      <c r="DT2" s="16" t="s">
        <v>417</v>
      </c>
      <c r="DU2" s="16" t="s">
        <v>418</v>
      </c>
      <c r="DV2" s="16" t="s">
        <v>419</v>
      </c>
      <c r="DW2" s="16" t="s">
        <v>420</v>
      </c>
      <c r="DX2" s="16" t="s">
        <v>421</v>
      </c>
      <c r="DY2" s="16" t="s">
        <v>422</v>
      </c>
      <c r="DZ2" s="16" t="s">
        <v>423</v>
      </c>
      <c r="EA2" s="16" t="s">
        <v>424</v>
      </c>
      <c r="EB2" s="16" t="s">
        <v>85</v>
      </c>
      <c r="EC2" s="16" t="s">
        <v>425</v>
      </c>
      <c r="ED2" s="16" t="s">
        <v>426</v>
      </c>
      <c r="EE2" s="16" t="s">
        <v>427</v>
      </c>
      <c r="EF2" s="16" t="s">
        <v>428</v>
      </c>
      <c r="EG2" s="16" t="s">
        <v>429</v>
      </c>
      <c r="EH2" s="16" t="s">
        <v>430</v>
      </c>
      <c r="EI2" s="16" t="s">
        <v>431</v>
      </c>
      <c r="EJ2" s="16" t="s">
        <v>432</v>
      </c>
      <c r="EK2" s="16" t="s">
        <v>433</v>
      </c>
      <c r="EL2" s="16" t="s">
        <v>434</v>
      </c>
      <c r="EM2" s="16" t="s">
        <v>435</v>
      </c>
      <c r="EN2" s="16" t="s">
        <v>436</v>
      </c>
      <c r="EO2" s="16" t="s">
        <v>437</v>
      </c>
      <c r="EP2" s="16" t="s">
        <v>438</v>
      </c>
      <c r="EQ2" s="16" t="s">
        <v>439</v>
      </c>
      <c r="ER2" s="16" t="s">
        <v>440</v>
      </c>
      <c r="ES2" s="16" t="s">
        <v>441</v>
      </c>
      <c r="ET2" s="16" t="s">
        <v>442</v>
      </c>
      <c r="EU2" s="16" t="s">
        <v>443</v>
      </c>
      <c r="EV2" s="16" t="s">
        <v>444</v>
      </c>
      <c r="EW2" s="16" t="s">
        <v>88</v>
      </c>
      <c r="EX2" s="16" t="s">
        <v>445</v>
      </c>
      <c r="EY2" s="16" t="s">
        <v>446</v>
      </c>
      <c r="EZ2" s="16" t="s">
        <v>447</v>
      </c>
      <c r="FA2" s="16" t="s">
        <v>448</v>
      </c>
      <c r="FB2" s="16" t="s">
        <v>449</v>
      </c>
      <c r="FC2" s="16" t="s">
        <v>450</v>
      </c>
      <c r="FD2" s="16" t="s">
        <v>451</v>
      </c>
      <c r="FE2" s="16" t="s">
        <v>452</v>
      </c>
      <c r="FF2" s="16" t="s">
        <v>453</v>
      </c>
      <c r="FG2" s="16" t="s">
        <v>454</v>
      </c>
      <c r="FH2" s="16" t="s">
        <v>455</v>
      </c>
      <c r="FI2" s="16" t="s">
        <v>456</v>
      </c>
      <c r="FJ2" s="16" t="s">
        <v>457</v>
      </c>
      <c r="FK2" s="16" t="s">
        <v>458</v>
      </c>
      <c r="FL2" s="16" t="s">
        <v>459</v>
      </c>
      <c r="FM2" s="16" t="s">
        <v>460</v>
      </c>
      <c r="FN2" s="16" t="s">
        <v>461</v>
      </c>
      <c r="FO2" s="16" t="s">
        <v>462</v>
      </c>
      <c r="FP2" s="16" t="s">
        <v>463</v>
      </c>
      <c r="FQ2" s="16" t="s">
        <v>464</v>
      </c>
      <c r="FR2" s="16" t="s">
        <v>465</v>
      </c>
      <c r="FS2" s="16" t="s">
        <v>466</v>
      </c>
      <c r="FT2" s="16" t="s">
        <v>467</v>
      </c>
      <c r="FU2" s="16" t="s">
        <v>468</v>
      </c>
    </row>
    <row r="3" spans="1:177" ht="115.2" customHeight="1" x14ac:dyDescent="0.3">
      <c r="A3" t="s">
        <v>469</v>
      </c>
      <c r="C3" t="s">
        <v>73</v>
      </c>
      <c r="F3" s="16" t="s">
        <v>470</v>
      </c>
      <c r="G3" s="16" t="s">
        <v>471</v>
      </c>
      <c r="H3" s="16" t="s">
        <v>472</v>
      </c>
      <c r="I3" s="16" t="s">
        <v>473</v>
      </c>
      <c r="J3" s="16" t="s">
        <v>474</v>
      </c>
      <c r="K3" s="16" t="s">
        <v>475</v>
      </c>
      <c r="L3" s="16" t="s">
        <v>476</v>
      </c>
      <c r="M3" s="16" t="s">
        <v>477</v>
      </c>
      <c r="N3" s="16" t="s">
        <v>478</v>
      </c>
      <c r="O3" s="16" t="s">
        <v>479</v>
      </c>
      <c r="P3" s="16" t="s">
        <v>480</v>
      </c>
      <c r="Q3" s="16" t="s">
        <v>481</v>
      </c>
      <c r="R3" s="16" t="s">
        <v>482</v>
      </c>
      <c r="S3" s="16" t="s">
        <v>483</v>
      </c>
      <c r="T3" s="16" t="s">
        <v>484</v>
      </c>
      <c r="U3" s="16" t="s">
        <v>485</v>
      </c>
      <c r="V3" s="16" t="s">
        <v>486</v>
      </c>
      <c r="W3" s="16" t="s">
        <v>487</v>
      </c>
      <c r="X3" s="16" t="s">
        <v>488</v>
      </c>
      <c r="Y3" s="16" t="s">
        <v>489</v>
      </c>
      <c r="Z3" s="16" t="s">
        <v>490</v>
      </c>
      <c r="AA3" s="16" t="s">
        <v>491</v>
      </c>
      <c r="AB3" s="16" t="s">
        <v>492</v>
      </c>
      <c r="AC3" s="16" t="s">
        <v>493</v>
      </c>
      <c r="AD3" s="16" t="s">
        <v>494</v>
      </c>
      <c r="AE3" s="16" t="s">
        <v>495</v>
      </c>
      <c r="AF3" s="16" t="s">
        <v>496</v>
      </c>
      <c r="AG3" s="16" t="s">
        <v>497</v>
      </c>
      <c r="AH3" s="16" t="s">
        <v>498</v>
      </c>
      <c r="AI3" s="16" t="s">
        <v>499</v>
      </c>
      <c r="AJ3" s="16" t="s">
        <v>500</v>
      </c>
      <c r="AK3" s="16" t="s">
        <v>501</v>
      </c>
      <c r="AL3" s="16" t="s">
        <v>502</v>
      </c>
      <c r="AM3" s="16" t="s">
        <v>503</v>
      </c>
      <c r="AN3" s="16" t="s">
        <v>504</v>
      </c>
      <c r="AO3" s="16" t="s">
        <v>505</v>
      </c>
      <c r="AP3" s="16" t="s">
        <v>506</v>
      </c>
      <c r="AQ3" s="16" t="s">
        <v>507</v>
      </c>
      <c r="AR3" s="16" t="s">
        <v>508</v>
      </c>
      <c r="AS3" s="16" t="s">
        <v>509</v>
      </c>
      <c r="AT3" s="16" t="s">
        <v>510</v>
      </c>
      <c r="AU3" s="16" t="s">
        <v>511</v>
      </c>
      <c r="AV3" s="16" t="s">
        <v>512</v>
      </c>
      <c r="AW3" s="16" t="s">
        <v>513</v>
      </c>
      <c r="AX3" s="16" t="s">
        <v>514</v>
      </c>
      <c r="AY3" s="16" t="s">
        <v>515</v>
      </c>
      <c r="AZ3" s="16" t="s">
        <v>516</v>
      </c>
      <c r="BA3" s="16" t="s">
        <v>517</v>
      </c>
      <c r="BB3" s="16" t="s">
        <v>518</v>
      </c>
      <c r="BC3" s="16" t="s">
        <v>519</v>
      </c>
      <c r="BD3" s="16" t="s">
        <v>520</v>
      </c>
      <c r="BE3" s="16" t="s">
        <v>521</v>
      </c>
      <c r="BF3" s="16" t="s">
        <v>522</v>
      </c>
      <c r="BG3" s="16" t="s">
        <v>523</v>
      </c>
      <c r="BH3" s="16" t="s">
        <v>524</v>
      </c>
      <c r="BI3" s="16" t="s">
        <v>525</v>
      </c>
      <c r="BJ3" s="16" t="s">
        <v>526</v>
      </c>
      <c r="BK3" s="16" t="s">
        <v>527</v>
      </c>
      <c r="BL3" s="16" t="s">
        <v>528</v>
      </c>
      <c r="BM3" s="16" t="s">
        <v>529</v>
      </c>
      <c r="BN3" s="16" t="s">
        <v>530</v>
      </c>
      <c r="BO3" s="16" t="s">
        <v>531</v>
      </c>
      <c r="BP3" s="16" t="s">
        <v>532</v>
      </c>
      <c r="BQ3" s="16" t="s">
        <v>533</v>
      </c>
      <c r="BR3" s="16" t="s">
        <v>534</v>
      </c>
      <c r="BS3" s="16" t="s">
        <v>535</v>
      </c>
      <c r="BT3" s="16" t="s">
        <v>536</v>
      </c>
      <c r="BU3" s="16" t="s">
        <v>537</v>
      </c>
      <c r="BV3" s="16" t="s">
        <v>538</v>
      </c>
      <c r="BW3" s="16" t="s">
        <v>539</v>
      </c>
      <c r="BX3" s="16" t="s">
        <v>540</v>
      </c>
      <c r="BY3" s="16" t="s">
        <v>541</v>
      </c>
      <c r="BZ3" s="16" t="s">
        <v>542</v>
      </c>
      <c r="CA3" s="16" t="s">
        <v>543</v>
      </c>
      <c r="CB3" s="16" t="s">
        <v>544</v>
      </c>
      <c r="CC3" s="16" t="s">
        <v>545</v>
      </c>
      <c r="CD3" s="16" t="s">
        <v>546</v>
      </c>
      <c r="CE3" s="16" t="s">
        <v>547</v>
      </c>
      <c r="CF3" s="16" t="s">
        <v>548</v>
      </c>
      <c r="CG3" s="16" t="s">
        <v>549</v>
      </c>
      <c r="CH3" s="16" t="s">
        <v>550</v>
      </c>
      <c r="CI3" s="16" t="s">
        <v>551</v>
      </c>
      <c r="CJ3" s="16" t="s">
        <v>552</v>
      </c>
      <c r="CK3" s="16" t="s">
        <v>553</v>
      </c>
      <c r="CL3" s="16" t="s">
        <v>554</v>
      </c>
      <c r="CM3" s="16" t="s">
        <v>555</v>
      </c>
      <c r="CN3" s="16" t="s">
        <v>556</v>
      </c>
      <c r="CO3" s="16" t="s">
        <v>557</v>
      </c>
      <c r="CP3" s="16" t="s">
        <v>558</v>
      </c>
      <c r="CQ3" s="16" t="s">
        <v>559</v>
      </c>
      <c r="CR3" s="16" t="s">
        <v>560</v>
      </c>
      <c r="CS3" s="16" t="s">
        <v>561</v>
      </c>
      <c r="CT3" s="16" t="s">
        <v>562</v>
      </c>
      <c r="CU3" s="16" t="s">
        <v>563</v>
      </c>
      <c r="CV3" s="16" t="s">
        <v>564</v>
      </c>
      <c r="CW3" s="16" t="s">
        <v>565</v>
      </c>
      <c r="CX3" s="16" t="s">
        <v>566</v>
      </c>
      <c r="CY3" s="16" t="s">
        <v>567</v>
      </c>
      <c r="CZ3" s="16" t="s">
        <v>568</v>
      </c>
      <c r="DA3" s="16" t="s">
        <v>569</v>
      </c>
      <c r="DB3" s="16" t="s">
        <v>570</v>
      </c>
      <c r="DC3" s="16" t="s">
        <v>571</v>
      </c>
      <c r="DD3" s="16" t="s">
        <v>572</v>
      </c>
      <c r="DE3" s="16" t="s">
        <v>573</v>
      </c>
      <c r="DF3" s="16" t="s">
        <v>574</v>
      </c>
      <c r="DG3" s="16" t="s">
        <v>575</v>
      </c>
      <c r="DH3" s="16" t="s">
        <v>576</v>
      </c>
      <c r="DI3" s="16" t="s">
        <v>577</v>
      </c>
      <c r="DJ3" s="16" t="s">
        <v>578</v>
      </c>
      <c r="DK3" s="16" t="s">
        <v>579</v>
      </c>
      <c r="DL3" s="16" t="s">
        <v>580</v>
      </c>
      <c r="DM3" s="16" t="s">
        <v>581</v>
      </c>
      <c r="DN3" s="16" t="s">
        <v>582</v>
      </c>
      <c r="DO3" s="16" t="s">
        <v>583</v>
      </c>
      <c r="DP3" s="16" t="s">
        <v>584</v>
      </c>
      <c r="DQ3" s="16" t="s">
        <v>585</v>
      </c>
      <c r="DR3" s="16" t="s">
        <v>586</v>
      </c>
      <c r="DS3" s="16" t="s">
        <v>587</v>
      </c>
      <c r="DT3" s="16" t="s">
        <v>588</v>
      </c>
      <c r="DU3" s="16" t="s">
        <v>589</v>
      </c>
      <c r="DV3" s="16" t="s">
        <v>590</v>
      </c>
      <c r="DW3" s="16" t="s">
        <v>591</v>
      </c>
      <c r="DX3" s="16" t="s">
        <v>592</v>
      </c>
      <c r="DY3" s="16" t="s">
        <v>593</v>
      </c>
      <c r="DZ3" s="16" t="s">
        <v>594</v>
      </c>
      <c r="EA3" s="16" t="s">
        <v>595</v>
      </c>
      <c r="EB3" s="16" t="s">
        <v>596</v>
      </c>
      <c r="EC3" s="16" t="s">
        <v>597</v>
      </c>
      <c r="ED3" s="16" t="s">
        <v>598</v>
      </c>
      <c r="EE3" s="16" t="s">
        <v>599</v>
      </c>
      <c r="EF3" s="16" t="s">
        <v>600</v>
      </c>
      <c r="EG3" s="16" t="s">
        <v>601</v>
      </c>
      <c r="EH3" s="16" t="s">
        <v>602</v>
      </c>
      <c r="EI3" s="16" t="s">
        <v>603</v>
      </c>
      <c r="EJ3" s="16" t="s">
        <v>604</v>
      </c>
      <c r="EK3" s="16" t="s">
        <v>605</v>
      </c>
      <c r="EL3" s="16" t="s">
        <v>606</v>
      </c>
      <c r="EM3" s="16" t="s">
        <v>607</v>
      </c>
      <c r="EN3" s="16" t="s">
        <v>608</v>
      </c>
      <c r="EO3" s="16" t="s">
        <v>609</v>
      </c>
      <c r="EP3" s="16" t="s">
        <v>610</v>
      </c>
      <c r="EQ3" s="16" t="s">
        <v>611</v>
      </c>
      <c r="ER3" s="16" t="s">
        <v>612</v>
      </c>
      <c r="ES3" s="16" t="s">
        <v>613</v>
      </c>
      <c r="ET3" s="16" t="s">
        <v>614</v>
      </c>
      <c r="EU3" s="16" t="s">
        <v>615</v>
      </c>
      <c r="EV3" s="16" t="s">
        <v>616</v>
      </c>
      <c r="EW3" s="16" t="s">
        <v>617</v>
      </c>
      <c r="EX3" s="16" t="s">
        <v>618</v>
      </c>
      <c r="EY3" s="16" t="s">
        <v>619</v>
      </c>
      <c r="EZ3" s="16" t="s">
        <v>620</v>
      </c>
      <c r="FA3" s="16" t="s">
        <v>621</v>
      </c>
      <c r="FB3" s="16" t="s">
        <v>622</v>
      </c>
      <c r="FC3" s="16" t="s">
        <v>623</v>
      </c>
      <c r="FD3" s="16" t="s">
        <v>624</v>
      </c>
      <c r="FE3" s="16" t="s">
        <v>625</v>
      </c>
      <c r="FF3" s="16" t="s">
        <v>626</v>
      </c>
      <c r="FG3" s="16" t="s">
        <v>627</v>
      </c>
      <c r="FH3" s="16" t="s">
        <v>628</v>
      </c>
      <c r="FI3" s="16" t="s">
        <v>629</v>
      </c>
      <c r="FJ3" s="16" t="s">
        <v>630</v>
      </c>
      <c r="FK3" s="16" t="s">
        <v>631</v>
      </c>
      <c r="FL3" s="16" t="s">
        <v>632</v>
      </c>
      <c r="FM3" s="16" t="s">
        <v>633</v>
      </c>
      <c r="FN3" s="16" t="s">
        <v>634</v>
      </c>
      <c r="FO3" s="16" t="s">
        <v>635</v>
      </c>
      <c r="FP3" s="16" t="s">
        <v>636</v>
      </c>
      <c r="FQ3" s="16" t="s">
        <v>637</v>
      </c>
      <c r="FR3" s="16" t="s">
        <v>638</v>
      </c>
      <c r="FS3" s="16" t="s">
        <v>639</v>
      </c>
      <c r="FT3" s="16" t="s">
        <v>640</v>
      </c>
      <c r="FU3" s="16" t="s">
        <v>641</v>
      </c>
    </row>
    <row r="4" spans="1:177" ht="100.8" customHeight="1" x14ac:dyDescent="0.3">
      <c r="A4" t="s">
        <v>642</v>
      </c>
      <c r="C4" t="s">
        <v>61</v>
      </c>
      <c r="F4" s="16" t="s">
        <v>643</v>
      </c>
      <c r="G4" s="16" t="s">
        <v>644</v>
      </c>
      <c r="H4" s="20" t="s">
        <v>645</v>
      </c>
      <c r="I4" s="16" t="s">
        <v>646</v>
      </c>
      <c r="J4" s="16" t="s">
        <v>647</v>
      </c>
      <c r="K4" s="16" t="s">
        <v>648</v>
      </c>
      <c r="L4" s="16" t="s">
        <v>649</v>
      </c>
      <c r="M4" s="16" t="s">
        <v>650</v>
      </c>
      <c r="N4" s="16" t="s">
        <v>651</v>
      </c>
      <c r="O4" s="16" t="s">
        <v>652</v>
      </c>
      <c r="P4" s="16" t="s">
        <v>653</v>
      </c>
      <c r="Q4" s="16" t="s">
        <v>654</v>
      </c>
      <c r="R4" s="16" t="s">
        <v>655</v>
      </c>
      <c r="S4" s="16" t="s">
        <v>656</v>
      </c>
      <c r="T4" s="16" t="s">
        <v>657</v>
      </c>
      <c r="U4" s="16" t="s">
        <v>658</v>
      </c>
      <c r="V4" s="16" t="s">
        <v>659</v>
      </c>
      <c r="W4" s="16" t="s">
        <v>660</v>
      </c>
      <c r="X4" s="16" t="s">
        <v>661</v>
      </c>
      <c r="Y4" s="16" t="s">
        <v>662</v>
      </c>
      <c r="Z4" s="16" t="s">
        <v>663</v>
      </c>
      <c r="AA4" s="16" t="s">
        <v>664</v>
      </c>
      <c r="AB4" s="16" t="s">
        <v>665</v>
      </c>
      <c r="AC4" s="16" t="s">
        <v>666</v>
      </c>
      <c r="AD4" s="16" t="s">
        <v>667</v>
      </c>
      <c r="AE4" s="16" t="s">
        <v>668</v>
      </c>
      <c r="AF4" s="16" t="s">
        <v>669</v>
      </c>
      <c r="AG4" s="16" t="s">
        <v>670</v>
      </c>
      <c r="AH4" s="16" t="s">
        <v>671</v>
      </c>
      <c r="AI4" s="16" t="s">
        <v>672</v>
      </c>
      <c r="AJ4" s="16" t="s">
        <v>673</v>
      </c>
      <c r="AK4" s="16" t="s">
        <v>674</v>
      </c>
      <c r="AL4" s="16" t="s">
        <v>675</v>
      </c>
      <c r="AM4" s="16" t="s">
        <v>676</v>
      </c>
      <c r="AN4" s="16" t="s">
        <v>677</v>
      </c>
      <c r="AO4" s="16" t="s">
        <v>678</v>
      </c>
      <c r="AP4" s="16" t="s">
        <v>679</v>
      </c>
      <c r="AQ4" s="16" t="s">
        <v>680</v>
      </c>
      <c r="AR4" s="16" t="s">
        <v>681</v>
      </c>
      <c r="AS4" s="16" t="s">
        <v>682</v>
      </c>
      <c r="AT4" s="16" t="s">
        <v>683</v>
      </c>
      <c r="AU4" s="16" t="s">
        <v>684</v>
      </c>
      <c r="AV4" s="16" t="s">
        <v>685</v>
      </c>
      <c r="AW4" s="16" t="s">
        <v>686</v>
      </c>
      <c r="AX4" s="16" t="s">
        <v>687</v>
      </c>
      <c r="AY4" s="16" t="s">
        <v>688</v>
      </c>
      <c r="AZ4" s="16" t="s">
        <v>689</v>
      </c>
      <c r="BA4" s="16" t="s">
        <v>690</v>
      </c>
      <c r="BB4" s="16" t="s">
        <v>691</v>
      </c>
      <c r="BC4" s="16" t="s">
        <v>692</v>
      </c>
      <c r="BD4" s="16" t="s">
        <v>693</v>
      </c>
      <c r="BE4" s="16" t="s">
        <v>694</v>
      </c>
      <c r="BF4" s="16" t="s">
        <v>695</v>
      </c>
      <c r="BG4" s="16" t="s">
        <v>696</v>
      </c>
      <c r="BH4" s="16" t="s">
        <v>697</v>
      </c>
      <c r="BI4" s="16" t="s">
        <v>698</v>
      </c>
      <c r="BJ4" s="16" t="s">
        <v>699</v>
      </c>
      <c r="BK4" s="16" t="s">
        <v>700</v>
      </c>
      <c r="BL4" s="16" t="s">
        <v>701</v>
      </c>
      <c r="BM4" s="16" t="s">
        <v>702</v>
      </c>
      <c r="BN4" s="16" t="s">
        <v>703</v>
      </c>
      <c r="BO4" s="16" t="s">
        <v>704</v>
      </c>
      <c r="BP4" s="16" t="s">
        <v>705</v>
      </c>
      <c r="BQ4" s="16" t="s">
        <v>706</v>
      </c>
      <c r="BR4" s="16" t="s">
        <v>707</v>
      </c>
      <c r="BS4" s="16" t="s">
        <v>708</v>
      </c>
      <c r="BT4" s="16" t="s">
        <v>709</v>
      </c>
      <c r="BU4" s="16" t="s">
        <v>710</v>
      </c>
      <c r="BV4" s="16" t="s">
        <v>711</v>
      </c>
      <c r="BW4" s="16" t="s">
        <v>712</v>
      </c>
      <c r="BX4" s="16" t="s">
        <v>713</v>
      </c>
      <c r="BY4" s="16" t="s">
        <v>714</v>
      </c>
      <c r="BZ4" s="16" t="s">
        <v>715</v>
      </c>
      <c r="CA4" s="16" t="s">
        <v>716</v>
      </c>
      <c r="CB4" s="16" t="s">
        <v>717</v>
      </c>
      <c r="CC4" s="16" t="s">
        <v>718</v>
      </c>
      <c r="CD4" s="16" t="s">
        <v>81</v>
      </c>
      <c r="CE4" s="16" t="s">
        <v>719</v>
      </c>
      <c r="CF4" s="16" t="s">
        <v>720</v>
      </c>
      <c r="CG4" s="16" t="s">
        <v>721</v>
      </c>
      <c r="CH4" s="16" t="s">
        <v>722</v>
      </c>
      <c r="CI4" s="16" t="s">
        <v>723</v>
      </c>
      <c r="CJ4" s="16" t="s">
        <v>724</v>
      </c>
      <c r="CK4" s="16" t="s">
        <v>725</v>
      </c>
      <c r="CL4" s="16" t="s">
        <v>726</v>
      </c>
      <c r="CM4" s="16" t="s">
        <v>727</v>
      </c>
      <c r="CN4" s="16" t="s">
        <v>728</v>
      </c>
      <c r="CO4" s="16" t="s">
        <v>729</v>
      </c>
      <c r="CP4" s="16" t="s">
        <v>730</v>
      </c>
      <c r="CQ4" s="16" t="s">
        <v>731</v>
      </c>
      <c r="CR4" s="16" t="s">
        <v>732</v>
      </c>
      <c r="CS4" s="16" t="s">
        <v>733</v>
      </c>
      <c r="CT4" s="16" t="s">
        <v>734</v>
      </c>
      <c r="CU4" s="16" t="s">
        <v>735</v>
      </c>
      <c r="CV4" s="16" t="s">
        <v>736</v>
      </c>
      <c r="CW4" s="16" t="s">
        <v>737</v>
      </c>
      <c r="CX4" s="16" t="s">
        <v>738</v>
      </c>
      <c r="CY4" s="16" t="s">
        <v>739</v>
      </c>
      <c r="CZ4" s="16" t="s">
        <v>740</v>
      </c>
      <c r="DA4" s="16" t="s">
        <v>741</v>
      </c>
      <c r="DB4" s="16" t="s">
        <v>742</v>
      </c>
      <c r="DC4" s="16" t="s">
        <v>743</v>
      </c>
      <c r="DD4" s="16" t="s">
        <v>717</v>
      </c>
      <c r="DE4" s="16" t="s">
        <v>744</v>
      </c>
      <c r="DF4" s="16" t="s">
        <v>745</v>
      </c>
      <c r="DG4" s="16" t="s">
        <v>746</v>
      </c>
      <c r="DH4" s="16" t="s">
        <v>747</v>
      </c>
      <c r="DI4" s="16" t="s">
        <v>748</v>
      </c>
      <c r="DJ4" s="16" t="s">
        <v>749</v>
      </c>
      <c r="DK4" s="16" t="s">
        <v>750</v>
      </c>
      <c r="DL4" s="16" t="s">
        <v>751</v>
      </c>
      <c r="DM4" s="16" t="s">
        <v>752</v>
      </c>
      <c r="DN4" s="16" t="s">
        <v>753</v>
      </c>
      <c r="DO4" s="16" t="s">
        <v>754</v>
      </c>
      <c r="DP4" s="16" t="s">
        <v>755</v>
      </c>
      <c r="DQ4" s="16" t="s">
        <v>756</v>
      </c>
      <c r="DR4" s="16" t="s">
        <v>757</v>
      </c>
      <c r="DS4" s="16" t="s">
        <v>758</v>
      </c>
      <c r="DT4" s="16" t="s">
        <v>759</v>
      </c>
      <c r="DU4" s="16" t="s">
        <v>760</v>
      </c>
      <c r="DV4" s="16" t="s">
        <v>761</v>
      </c>
      <c r="DW4" s="16" t="s">
        <v>83</v>
      </c>
      <c r="DX4" s="16" t="s">
        <v>762</v>
      </c>
      <c r="DY4" s="16" t="s">
        <v>593</v>
      </c>
      <c r="DZ4" s="16" t="s">
        <v>763</v>
      </c>
      <c r="EA4" s="16" t="s">
        <v>764</v>
      </c>
      <c r="EB4" s="16" t="s">
        <v>765</v>
      </c>
      <c r="EC4" s="16" t="s">
        <v>766</v>
      </c>
      <c r="ED4" s="16" t="s">
        <v>767</v>
      </c>
      <c r="EE4" s="16" t="s">
        <v>768</v>
      </c>
      <c r="EF4" s="16" t="s">
        <v>769</v>
      </c>
      <c r="EG4" s="16" t="s">
        <v>770</v>
      </c>
      <c r="EH4" s="16" t="s">
        <v>771</v>
      </c>
      <c r="EI4" s="16" t="s">
        <v>772</v>
      </c>
      <c r="EJ4" s="16" t="s">
        <v>773</v>
      </c>
      <c r="EK4" s="16" t="s">
        <v>774</v>
      </c>
      <c r="EL4" s="16" t="s">
        <v>775</v>
      </c>
      <c r="EM4" s="16" t="s">
        <v>776</v>
      </c>
      <c r="EN4" s="16" t="s">
        <v>777</v>
      </c>
      <c r="EO4" s="16" t="s">
        <v>778</v>
      </c>
      <c r="EP4" s="16" t="s">
        <v>779</v>
      </c>
      <c r="EQ4" s="16" t="s">
        <v>780</v>
      </c>
      <c r="ER4" s="16" t="s">
        <v>781</v>
      </c>
      <c r="ES4" s="16" t="s">
        <v>782</v>
      </c>
      <c r="ET4" s="16" t="s">
        <v>783</v>
      </c>
      <c r="EU4" s="16" t="s">
        <v>784</v>
      </c>
      <c r="EV4" s="16" t="s">
        <v>785</v>
      </c>
      <c r="EW4" s="16" t="s">
        <v>786</v>
      </c>
      <c r="EX4" s="16" t="s">
        <v>787</v>
      </c>
      <c r="EY4" s="16" t="s">
        <v>788</v>
      </c>
      <c r="EZ4" s="16" t="s">
        <v>789</v>
      </c>
      <c r="FA4" s="16" t="s">
        <v>790</v>
      </c>
      <c r="FB4" s="16" t="s">
        <v>791</v>
      </c>
      <c r="FC4" s="16" t="s">
        <v>792</v>
      </c>
      <c r="FD4" s="16" t="s">
        <v>793</v>
      </c>
      <c r="FE4" s="16" t="s">
        <v>794</v>
      </c>
      <c r="FF4" s="16" t="s">
        <v>795</v>
      </c>
      <c r="FG4" s="16" t="s">
        <v>796</v>
      </c>
      <c r="FH4" s="16" t="s">
        <v>797</v>
      </c>
      <c r="FI4" s="16" t="s">
        <v>798</v>
      </c>
      <c r="FJ4" s="16" t="s">
        <v>799</v>
      </c>
      <c r="FK4" s="16" t="s">
        <v>800</v>
      </c>
      <c r="FL4" s="16" t="s">
        <v>89</v>
      </c>
      <c r="FM4" s="16" t="s">
        <v>801</v>
      </c>
      <c r="FN4" s="16" t="s">
        <v>802</v>
      </c>
      <c r="FO4" s="16" t="s">
        <v>803</v>
      </c>
      <c r="FP4" s="16" t="s">
        <v>804</v>
      </c>
      <c r="FQ4" s="16" t="s">
        <v>805</v>
      </c>
      <c r="FR4" s="16" t="s">
        <v>806</v>
      </c>
      <c r="FS4" s="16" t="s">
        <v>807</v>
      </c>
      <c r="FT4" s="16" t="s">
        <v>808</v>
      </c>
      <c r="FU4" s="16" t="s">
        <v>809</v>
      </c>
    </row>
    <row r="5" spans="1:177" ht="100.8" customHeight="1" x14ac:dyDescent="0.3">
      <c r="A5" t="s">
        <v>810</v>
      </c>
      <c r="C5" t="s">
        <v>67</v>
      </c>
      <c r="F5" s="16" t="s">
        <v>811</v>
      </c>
      <c r="G5" s="16" t="s">
        <v>644</v>
      </c>
      <c r="H5" s="16" t="s">
        <v>812</v>
      </c>
      <c r="I5" s="16" t="s">
        <v>813</v>
      </c>
      <c r="J5" s="16" t="s">
        <v>814</v>
      </c>
      <c r="K5" s="16" t="s">
        <v>815</v>
      </c>
      <c r="L5" s="16" t="s">
        <v>816</v>
      </c>
      <c r="M5" s="16" t="s">
        <v>817</v>
      </c>
      <c r="N5" s="16" t="s">
        <v>818</v>
      </c>
      <c r="O5" s="16" t="s">
        <v>819</v>
      </c>
      <c r="P5" s="16" t="s">
        <v>820</v>
      </c>
      <c r="Q5" s="16" t="s">
        <v>821</v>
      </c>
      <c r="R5" s="16" t="s">
        <v>822</v>
      </c>
      <c r="S5" s="16" t="s">
        <v>823</v>
      </c>
      <c r="T5" s="16" t="s">
        <v>824</v>
      </c>
      <c r="U5" s="16" t="s">
        <v>66</v>
      </c>
      <c r="V5" s="16" t="s">
        <v>825</v>
      </c>
      <c r="W5" s="16" t="s">
        <v>69</v>
      </c>
      <c r="X5" s="16" t="s">
        <v>826</v>
      </c>
      <c r="Y5" s="16" t="s">
        <v>827</v>
      </c>
      <c r="Z5" s="16" t="s">
        <v>828</v>
      </c>
      <c r="AA5" s="16" t="s">
        <v>829</v>
      </c>
      <c r="AB5" s="16" t="s">
        <v>68</v>
      </c>
      <c r="AC5" s="16" t="s">
        <v>830</v>
      </c>
      <c r="AD5" s="16" t="s">
        <v>831</v>
      </c>
      <c r="AE5" s="16" t="s">
        <v>832</v>
      </c>
      <c r="AF5" s="16" t="s">
        <v>833</v>
      </c>
      <c r="AG5" s="16" t="s">
        <v>834</v>
      </c>
      <c r="AH5" s="16" t="s">
        <v>835</v>
      </c>
      <c r="AI5" s="16" t="s">
        <v>836</v>
      </c>
      <c r="AJ5" s="16" t="s">
        <v>837</v>
      </c>
      <c r="AK5" s="16" t="s">
        <v>838</v>
      </c>
      <c r="AL5" s="16" t="s">
        <v>839</v>
      </c>
      <c r="AM5" s="16" t="s">
        <v>74</v>
      </c>
      <c r="AN5" s="16" t="s">
        <v>840</v>
      </c>
      <c r="AO5" s="16" t="s">
        <v>841</v>
      </c>
      <c r="AP5" s="16" t="s">
        <v>70</v>
      </c>
      <c r="AQ5" s="16" t="s">
        <v>842</v>
      </c>
      <c r="AR5" s="16" t="s">
        <v>843</v>
      </c>
      <c r="AS5" s="16" t="s">
        <v>844</v>
      </c>
      <c r="AT5" s="16" t="s">
        <v>75</v>
      </c>
      <c r="AU5" s="16" t="s">
        <v>845</v>
      </c>
      <c r="AV5" s="16" t="s">
        <v>846</v>
      </c>
      <c r="AW5" s="16" t="s">
        <v>847</v>
      </c>
      <c r="AX5" s="16" t="s">
        <v>848</v>
      </c>
      <c r="AY5" s="16" t="s">
        <v>849</v>
      </c>
      <c r="AZ5" s="16" t="s">
        <v>850</v>
      </c>
      <c r="BA5" s="16" t="s">
        <v>851</v>
      </c>
      <c r="BB5" s="16" t="s">
        <v>852</v>
      </c>
      <c r="BC5" s="16" t="s">
        <v>853</v>
      </c>
      <c r="BD5" s="16" t="s">
        <v>854</v>
      </c>
      <c r="BE5" s="16" t="s">
        <v>855</v>
      </c>
      <c r="BF5" s="16" t="s">
        <v>856</v>
      </c>
      <c r="BG5" s="16" t="s">
        <v>857</v>
      </c>
      <c r="BH5" s="16" t="s">
        <v>858</v>
      </c>
      <c r="BI5" s="16" t="s">
        <v>859</v>
      </c>
      <c r="BJ5" s="16" t="s">
        <v>860</v>
      </c>
      <c r="BK5" s="16" t="s">
        <v>861</v>
      </c>
      <c r="BL5" s="16" t="s">
        <v>862</v>
      </c>
      <c r="BM5" s="16" t="s">
        <v>863</v>
      </c>
      <c r="BN5" s="16" t="s">
        <v>864</v>
      </c>
      <c r="BO5" s="16" t="s">
        <v>865</v>
      </c>
      <c r="BP5" s="16" t="s">
        <v>866</v>
      </c>
      <c r="BQ5" s="16" t="s">
        <v>867</v>
      </c>
      <c r="BR5" s="16" t="s">
        <v>868</v>
      </c>
      <c r="BS5" s="16" t="s">
        <v>869</v>
      </c>
      <c r="BT5" s="16" t="s">
        <v>870</v>
      </c>
      <c r="BU5" s="16" t="s">
        <v>871</v>
      </c>
      <c r="BV5" s="16" t="s">
        <v>872</v>
      </c>
      <c r="BW5" s="16" t="s">
        <v>873</v>
      </c>
      <c r="BX5" s="16" t="s">
        <v>874</v>
      </c>
      <c r="BY5" s="16" t="s">
        <v>875</v>
      </c>
      <c r="BZ5" s="16" t="s">
        <v>876</v>
      </c>
      <c r="CA5" s="16" t="s">
        <v>877</v>
      </c>
      <c r="CB5" s="16" t="s">
        <v>878</v>
      </c>
      <c r="CC5" s="16" t="s">
        <v>879</v>
      </c>
      <c r="CD5" s="16" t="s">
        <v>880</v>
      </c>
      <c r="CE5" s="16" t="s">
        <v>881</v>
      </c>
      <c r="CF5" s="16" t="s">
        <v>882</v>
      </c>
      <c r="CG5" s="16" t="s">
        <v>883</v>
      </c>
      <c r="CH5" s="16" t="s">
        <v>884</v>
      </c>
      <c r="CI5" s="16" t="s">
        <v>885</v>
      </c>
      <c r="CJ5" s="16" t="s">
        <v>886</v>
      </c>
      <c r="CK5" s="16" t="s">
        <v>887</v>
      </c>
      <c r="CL5" s="16" t="s">
        <v>888</v>
      </c>
      <c r="CM5" s="16" t="s">
        <v>889</v>
      </c>
      <c r="CN5" s="16" t="s">
        <v>890</v>
      </c>
      <c r="CO5" s="16" t="s">
        <v>891</v>
      </c>
      <c r="CP5" s="16" t="s">
        <v>892</v>
      </c>
      <c r="CQ5" s="16" t="s">
        <v>893</v>
      </c>
      <c r="CR5" s="16" t="s">
        <v>894</v>
      </c>
      <c r="CS5" s="16" t="s">
        <v>895</v>
      </c>
      <c r="CT5" s="16" t="s">
        <v>896</v>
      </c>
      <c r="CU5" s="16" t="s">
        <v>897</v>
      </c>
      <c r="CV5" s="16" t="s">
        <v>898</v>
      </c>
      <c r="CW5" s="16" t="s">
        <v>899</v>
      </c>
      <c r="CX5" s="16" t="s">
        <v>900</v>
      </c>
      <c r="CY5" s="16" t="s">
        <v>901</v>
      </c>
      <c r="CZ5" s="16" t="s">
        <v>902</v>
      </c>
      <c r="DA5" s="16" t="s">
        <v>903</v>
      </c>
      <c r="DB5" s="16" t="s">
        <v>904</v>
      </c>
      <c r="DC5" s="16" t="s">
        <v>905</v>
      </c>
      <c r="DD5" s="16" t="s">
        <v>906</v>
      </c>
      <c r="DE5" s="16" t="s">
        <v>907</v>
      </c>
      <c r="DF5" s="16" t="s">
        <v>84</v>
      </c>
      <c r="DG5" s="16" t="s">
        <v>908</v>
      </c>
      <c r="DH5" s="16" t="s">
        <v>909</v>
      </c>
      <c r="DI5" s="16" t="s">
        <v>910</v>
      </c>
      <c r="DJ5" s="16" t="s">
        <v>911</v>
      </c>
      <c r="DK5" s="16" t="s">
        <v>912</v>
      </c>
      <c r="DL5" s="16" t="s">
        <v>913</v>
      </c>
      <c r="DM5" s="16" t="s">
        <v>914</v>
      </c>
      <c r="DN5" s="16" t="s">
        <v>915</v>
      </c>
      <c r="DO5" s="16" t="s">
        <v>916</v>
      </c>
      <c r="DP5" s="16" t="s">
        <v>917</v>
      </c>
      <c r="DQ5" s="16" t="s">
        <v>918</v>
      </c>
      <c r="DR5" s="16" t="s">
        <v>919</v>
      </c>
      <c r="DS5" s="16" t="s">
        <v>920</v>
      </c>
      <c r="DT5" s="16" t="s">
        <v>921</v>
      </c>
      <c r="DU5" s="16" t="s">
        <v>922</v>
      </c>
      <c r="DV5" s="16" t="s">
        <v>923</v>
      </c>
      <c r="DW5" s="16" t="s">
        <v>924</v>
      </c>
      <c r="DX5" s="16" t="s">
        <v>925</v>
      </c>
      <c r="DY5" s="16" t="s">
        <v>926</v>
      </c>
      <c r="DZ5" s="16" t="s">
        <v>927</v>
      </c>
      <c r="EA5" s="16" t="s">
        <v>928</v>
      </c>
      <c r="EB5" s="16" t="s">
        <v>929</v>
      </c>
      <c r="EC5" s="16" t="s">
        <v>930</v>
      </c>
      <c r="ED5" s="16" t="s">
        <v>931</v>
      </c>
      <c r="EE5" s="16" t="s">
        <v>932</v>
      </c>
      <c r="EF5" s="16" t="s">
        <v>933</v>
      </c>
      <c r="EG5" s="16" t="s">
        <v>934</v>
      </c>
      <c r="EH5" s="16" t="s">
        <v>935</v>
      </c>
      <c r="EI5" s="16" t="s">
        <v>936</v>
      </c>
      <c r="EJ5" s="16" t="s">
        <v>937</v>
      </c>
      <c r="EK5" s="16" t="s">
        <v>938</v>
      </c>
      <c r="EL5" s="16" t="s">
        <v>939</v>
      </c>
      <c r="EM5" s="16" t="s">
        <v>940</v>
      </c>
      <c r="EN5" s="16" t="s">
        <v>941</v>
      </c>
      <c r="EO5" s="16" t="s">
        <v>942</v>
      </c>
      <c r="EP5" s="16" t="s">
        <v>943</v>
      </c>
      <c r="EQ5" s="16" t="s">
        <v>944</v>
      </c>
      <c r="ER5" s="16" t="s">
        <v>945</v>
      </c>
      <c r="ES5" s="16" t="s">
        <v>946</v>
      </c>
      <c r="ET5" s="16" t="s">
        <v>947</v>
      </c>
      <c r="EU5" s="16" t="s">
        <v>948</v>
      </c>
      <c r="EV5" s="16" t="s">
        <v>87</v>
      </c>
      <c r="EW5" s="16" t="s">
        <v>949</v>
      </c>
      <c r="EX5" s="16" t="s">
        <v>950</v>
      </c>
      <c r="EY5" s="16" t="s">
        <v>951</v>
      </c>
      <c r="EZ5" s="16" t="s">
        <v>952</v>
      </c>
      <c r="FA5" s="16" t="s">
        <v>953</v>
      </c>
      <c r="FB5" s="16" t="s">
        <v>954</v>
      </c>
      <c r="FC5" s="16" t="s">
        <v>955</v>
      </c>
      <c r="FD5" s="16" t="s">
        <v>956</v>
      </c>
      <c r="FE5" s="16" t="s">
        <v>957</v>
      </c>
      <c r="FF5" s="16" t="s">
        <v>86</v>
      </c>
      <c r="FG5" s="16" t="s">
        <v>796</v>
      </c>
      <c r="FH5" s="16" t="s">
        <v>958</v>
      </c>
      <c r="FI5" s="16" t="s">
        <v>959</v>
      </c>
      <c r="FJ5" s="16" t="s">
        <v>960</v>
      </c>
      <c r="FK5" s="16" t="s">
        <v>961</v>
      </c>
      <c r="FL5" s="16" t="s">
        <v>962</v>
      </c>
      <c r="FM5" s="16" t="s">
        <v>963</v>
      </c>
      <c r="FN5" s="16" t="s">
        <v>964</v>
      </c>
      <c r="FO5" s="16" t="s">
        <v>965</v>
      </c>
      <c r="FP5" s="16" t="s">
        <v>966</v>
      </c>
      <c r="FQ5" s="16" t="s">
        <v>967</v>
      </c>
      <c r="FR5" s="16" t="s">
        <v>968</v>
      </c>
      <c r="FS5" s="16" t="s">
        <v>969</v>
      </c>
      <c r="FT5" s="16" t="s">
        <v>970</v>
      </c>
      <c r="FU5" s="16" t="s">
        <v>971</v>
      </c>
    </row>
    <row r="6" spans="1:177" ht="100.8" customHeight="1" x14ac:dyDescent="0.3">
      <c r="F6" s="16" t="s">
        <v>972</v>
      </c>
      <c r="G6" s="16" t="s">
        <v>973</v>
      </c>
      <c r="H6" s="16" t="s">
        <v>974</v>
      </c>
      <c r="I6" s="16" t="s">
        <v>975</v>
      </c>
      <c r="J6" s="16" t="s">
        <v>976</v>
      </c>
      <c r="K6" s="16" t="s">
        <v>977</v>
      </c>
      <c r="L6" s="16" t="s">
        <v>978</v>
      </c>
      <c r="M6" s="16" t="s">
        <v>979</v>
      </c>
      <c r="N6" s="16" t="s">
        <v>980</v>
      </c>
      <c r="O6" s="16" t="s">
        <v>981</v>
      </c>
      <c r="P6" s="16" t="s">
        <v>982</v>
      </c>
      <c r="Q6" s="16" t="s">
        <v>983</v>
      </c>
      <c r="R6" s="16" t="s">
        <v>984</v>
      </c>
      <c r="S6" s="16" t="s">
        <v>985</v>
      </c>
      <c r="T6" s="16" t="s">
        <v>986</v>
      </c>
      <c r="U6" s="16" t="s">
        <v>987</v>
      </c>
      <c r="V6" s="16" t="s">
        <v>988</v>
      </c>
      <c r="W6" s="16" t="s">
        <v>989</v>
      </c>
      <c r="X6" s="16" t="s">
        <v>990</v>
      </c>
      <c r="Y6" s="16" t="s">
        <v>991</v>
      </c>
      <c r="Z6" s="16" t="s">
        <v>992</v>
      </c>
      <c r="AA6" s="16" t="s">
        <v>993</v>
      </c>
      <c r="AB6" s="16" t="s">
        <v>994</v>
      </c>
      <c r="AC6" s="16" t="s">
        <v>995</v>
      </c>
      <c r="AD6" s="16" t="s">
        <v>996</v>
      </c>
      <c r="AE6" s="16" t="s">
        <v>997</v>
      </c>
      <c r="AF6" s="16" t="s">
        <v>998</v>
      </c>
      <c r="AG6" s="16" t="s">
        <v>999</v>
      </c>
      <c r="AH6" s="16" t="s">
        <v>1000</v>
      </c>
      <c r="AI6" s="16" t="s">
        <v>1001</v>
      </c>
      <c r="AJ6" s="16" t="s">
        <v>1002</v>
      </c>
      <c r="AK6" s="16" t="s">
        <v>1003</v>
      </c>
      <c r="AL6" s="16" t="s">
        <v>1004</v>
      </c>
      <c r="AM6" s="16" t="s">
        <v>1005</v>
      </c>
      <c r="AN6" s="16" t="s">
        <v>1006</v>
      </c>
      <c r="AO6" s="16" t="s">
        <v>1007</v>
      </c>
      <c r="AP6" s="16" t="s">
        <v>1008</v>
      </c>
      <c r="AQ6" s="16" t="s">
        <v>1009</v>
      </c>
      <c r="AR6" s="16" t="s">
        <v>1010</v>
      </c>
      <c r="AS6" s="16" t="s">
        <v>1011</v>
      </c>
      <c r="AT6" s="16" t="s">
        <v>1012</v>
      </c>
      <c r="AU6" s="16" t="s">
        <v>1013</v>
      </c>
      <c r="AV6" s="16" t="s">
        <v>1014</v>
      </c>
      <c r="AW6" s="16" t="s">
        <v>71</v>
      </c>
      <c r="AX6" s="16" t="s">
        <v>1015</v>
      </c>
      <c r="AY6" s="16" t="s">
        <v>1016</v>
      </c>
      <c r="AZ6" s="16" t="s">
        <v>1017</v>
      </c>
      <c r="BA6" s="16" t="s">
        <v>1018</v>
      </c>
      <c r="BB6" s="16" t="s">
        <v>1019</v>
      </c>
      <c r="BC6" s="16" t="s">
        <v>1020</v>
      </c>
      <c r="BD6" s="16" t="s">
        <v>1021</v>
      </c>
      <c r="BE6" s="16" t="s">
        <v>1022</v>
      </c>
      <c r="BF6" s="16" t="s">
        <v>1023</v>
      </c>
      <c r="BG6" s="16" t="s">
        <v>1024</v>
      </c>
      <c r="BH6" s="16" t="s">
        <v>1025</v>
      </c>
      <c r="BI6" s="16" t="s">
        <v>1026</v>
      </c>
      <c r="BJ6" s="16" t="s">
        <v>1027</v>
      </c>
      <c r="BK6" s="16" t="s">
        <v>1028</v>
      </c>
      <c r="BL6" s="16" t="s">
        <v>1029</v>
      </c>
      <c r="BM6" s="16" t="s">
        <v>1030</v>
      </c>
      <c r="BN6" s="16" t="s">
        <v>1031</v>
      </c>
      <c r="BO6" s="16" t="s">
        <v>1032</v>
      </c>
      <c r="BP6" s="16" t="s">
        <v>1033</v>
      </c>
      <c r="BQ6" s="16" t="s">
        <v>1034</v>
      </c>
      <c r="BR6" s="16" t="s">
        <v>1035</v>
      </c>
      <c r="BS6" s="16" t="s">
        <v>1036</v>
      </c>
      <c r="BT6" s="16" t="s">
        <v>1037</v>
      </c>
      <c r="BU6" s="16" t="s">
        <v>1038</v>
      </c>
      <c r="BV6" s="16" t="s">
        <v>1039</v>
      </c>
      <c r="BW6" s="16" t="s">
        <v>1040</v>
      </c>
      <c r="BX6" s="16" t="s">
        <v>1041</v>
      </c>
      <c r="BY6" s="16" t="s">
        <v>1042</v>
      </c>
      <c r="BZ6" s="16" t="s">
        <v>1043</v>
      </c>
      <c r="CA6" s="16" t="s">
        <v>1044</v>
      </c>
      <c r="CB6" s="16" t="s">
        <v>572</v>
      </c>
      <c r="CC6" s="16" t="s">
        <v>1045</v>
      </c>
      <c r="CD6" s="16" t="s">
        <v>1046</v>
      </c>
      <c r="CE6" s="16" t="s">
        <v>1047</v>
      </c>
      <c r="CF6" s="16" t="s">
        <v>1048</v>
      </c>
      <c r="CG6" s="16" t="s">
        <v>1049</v>
      </c>
      <c r="CH6" s="16" t="s">
        <v>1050</v>
      </c>
      <c r="CI6" s="16" t="s">
        <v>1051</v>
      </c>
      <c r="CJ6" s="16" t="s">
        <v>1052</v>
      </c>
      <c r="CK6" s="16" t="s">
        <v>1053</v>
      </c>
      <c r="CL6" s="16" t="s">
        <v>1054</v>
      </c>
      <c r="CM6" s="16" t="s">
        <v>1055</v>
      </c>
      <c r="CN6" s="16" t="s">
        <v>1056</v>
      </c>
      <c r="CO6" s="16" t="s">
        <v>1057</v>
      </c>
      <c r="CP6" s="16" t="s">
        <v>1058</v>
      </c>
      <c r="CQ6" s="16" t="s">
        <v>1059</v>
      </c>
      <c r="CR6" s="16" t="s">
        <v>1060</v>
      </c>
      <c r="CS6" s="16" t="s">
        <v>1061</v>
      </c>
      <c r="CT6" s="16" t="s">
        <v>1062</v>
      </c>
      <c r="CU6" s="16" t="s">
        <v>1063</v>
      </c>
      <c r="CV6" s="16" t="s">
        <v>1064</v>
      </c>
      <c r="CW6" s="16" t="s">
        <v>1065</v>
      </c>
      <c r="CX6" s="16" t="s">
        <v>1066</v>
      </c>
      <c r="CY6" s="16" t="s">
        <v>1067</v>
      </c>
      <c r="CZ6" s="16" t="s">
        <v>1068</v>
      </c>
      <c r="DA6" s="16" t="s">
        <v>1069</v>
      </c>
      <c r="DB6" s="16" t="s">
        <v>1070</v>
      </c>
      <c r="DC6" s="16" t="s">
        <v>1071</v>
      </c>
      <c r="DD6" s="16" t="s">
        <v>1072</v>
      </c>
      <c r="DE6" s="16" t="s">
        <v>1073</v>
      </c>
      <c r="DF6" s="16" t="s">
        <v>1074</v>
      </c>
      <c r="DG6" s="16" t="s">
        <v>1075</v>
      </c>
      <c r="DH6" s="16" t="s">
        <v>1076</v>
      </c>
      <c r="DI6" s="16" t="s">
        <v>1077</v>
      </c>
      <c r="DJ6" s="16" t="s">
        <v>1078</v>
      </c>
      <c r="DK6" s="16" t="s">
        <v>1079</v>
      </c>
      <c r="DL6" s="16" t="s">
        <v>1080</v>
      </c>
      <c r="DM6" s="16" t="s">
        <v>1081</v>
      </c>
      <c r="DN6" s="16" t="s">
        <v>1082</v>
      </c>
      <c r="DO6" s="16" t="s">
        <v>1083</v>
      </c>
      <c r="DP6" s="16" t="s">
        <v>1084</v>
      </c>
      <c r="DQ6" s="16" t="s">
        <v>1085</v>
      </c>
      <c r="DR6" s="16" t="s">
        <v>1086</v>
      </c>
      <c r="DS6" s="16" t="s">
        <v>1087</v>
      </c>
      <c r="DT6" s="16" t="s">
        <v>1088</v>
      </c>
      <c r="DU6" s="16" t="s">
        <v>1089</v>
      </c>
      <c r="DV6" s="16" t="s">
        <v>1090</v>
      </c>
      <c r="DW6" s="16" t="s">
        <v>1091</v>
      </c>
      <c r="DX6" s="16" t="s">
        <v>1092</v>
      </c>
      <c r="DY6" s="16" t="s">
        <v>1093</v>
      </c>
      <c r="DZ6" s="16" t="s">
        <v>1094</v>
      </c>
      <c r="EA6" s="16" t="s">
        <v>1095</v>
      </c>
      <c r="EB6" s="16" t="s">
        <v>1096</v>
      </c>
      <c r="EC6" s="16" t="s">
        <v>1097</v>
      </c>
      <c r="ED6" s="16" t="s">
        <v>1098</v>
      </c>
      <c r="EE6" s="16" t="s">
        <v>1099</v>
      </c>
      <c r="EF6" s="16" t="s">
        <v>1100</v>
      </c>
      <c r="EG6" s="16" t="s">
        <v>1101</v>
      </c>
      <c r="EH6" s="16" t="s">
        <v>1102</v>
      </c>
      <c r="EI6" s="16" t="s">
        <v>1103</v>
      </c>
      <c r="EJ6" s="16" t="s">
        <v>1104</v>
      </c>
      <c r="EK6" s="16" t="s">
        <v>1105</v>
      </c>
      <c r="EL6" s="16" t="s">
        <v>1106</v>
      </c>
      <c r="EM6" s="16" t="s">
        <v>1107</v>
      </c>
      <c r="EN6" s="16" t="s">
        <v>1108</v>
      </c>
      <c r="EO6" s="16" t="s">
        <v>1109</v>
      </c>
      <c r="EP6" s="16" t="s">
        <v>1110</v>
      </c>
      <c r="EQ6" s="16" t="s">
        <v>1111</v>
      </c>
      <c r="ER6" s="16" t="s">
        <v>1112</v>
      </c>
      <c r="ES6" s="16" t="s">
        <v>1113</v>
      </c>
      <c r="ET6" s="16" t="s">
        <v>1114</v>
      </c>
      <c r="EU6" s="16" t="s">
        <v>1115</v>
      </c>
      <c r="EV6" s="16" t="s">
        <v>1116</v>
      </c>
      <c r="EW6" s="16" t="s">
        <v>1117</v>
      </c>
      <c r="EX6" s="16" t="s">
        <v>1118</v>
      </c>
      <c r="EY6" s="16" t="s">
        <v>1119</v>
      </c>
      <c r="EZ6" s="16" t="s">
        <v>1120</v>
      </c>
      <c r="FA6" s="16" t="s">
        <v>1121</v>
      </c>
      <c r="FB6" s="16" t="s">
        <v>1122</v>
      </c>
      <c r="FC6" s="16" t="s">
        <v>1123</v>
      </c>
      <c r="FD6" s="16" t="s">
        <v>1124</v>
      </c>
      <c r="FE6" s="16" t="s">
        <v>1125</v>
      </c>
      <c r="FF6" s="16" t="s">
        <v>1126</v>
      </c>
      <c r="FG6" s="16" t="s">
        <v>1127</v>
      </c>
      <c r="FH6" s="16" t="s">
        <v>1128</v>
      </c>
      <c r="FI6" s="16" t="s">
        <v>1129</v>
      </c>
      <c r="FJ6" s="16" t="s">
        <v>1130</v>
      </c>
      <c r="FK6" s="16" t="s">
        <v>1131</v>
      </c>
      <c r="FL6" s="16" t="s">
        <v>1132</v>
      </c>
      <c r="FM6" s="16" t="s">
        <v>1133</v>
      </c>
      <c r="FN6" s="16" t="s">
        <v>1134</v>
      </c>
      <c r="FO6" s="16" t="s">
        <v>1135</v>
      </c>
      <c r="FP6" s="16" t="s">
        <v>90</v>
      </c>
      <c r="FQ6" s="16" t="s">
        <v>1136</v>
      </c>
      <c r="FR6" s="16" t="s">
        <v>1137</v>
      </c>
      <c r="FS6" s="16" t="s">
        <v>1138</v>
      </c>
      <c r="FT6" s="16" t="s">
        <v>1139</v>
      </c>
      <c r="FU6" s="16" t="s">
        <v>1140</v>
      </c>
    </row>
    <row r="7" spans="1:177" ht="86.4" customHeight="1" x14ac:dyDescent="0.3">
      <c r="F7" s="16" t="s">
        <v>1141</v>
      </c>
      <c r="G7" s="16" t="s">
        <v>1142</v>
      </c>
      <c r="H7" s="16" t="s">
        <v>1143</v>
      </c>
      <c r="I7" s="16" t="s">
        <v>1144</v>
      </c>
      <c r="J7" s="16" t="s">
        <v>1145</v>
      </c>
      <c r="K7" s="16" t="s">
        <v>1146</v>
      </c>
      <c r="L7" s="16" t="s">
        <v>1147</v>
      </c>
      <c r="M7" s="16" t="s">
        <v>1148</v>
      </c>
      <c r="N7" s="16" t="s">
        <v>1149</v>
      </c>
      <c r="O7" s="16" t="s">
        <v>1150</v>
      </c>
      <c r="P7" s="16" t="s">
        <v>1151</v>
      </c>
      <c r="Q7" s="16" t="s">
        <v>1152</v>
      </c>
      <c r="R7" s="16" t="s">
        <v>1153</v>
      </c>
      <c r="S7" s="16" t="s">
        <v>1154</v>
      </c>
      <c r="T7" s="16" t="s">
        <v>1155</v>
      </c>
      <c r="U7" s="16" t="s">
        <v>1156</v>
      </c>
      <c r="V7" s="16" t="s">
        <v>1157</v>
      </c>
      <c r="W7" s="16" t="s">
        <v>1158</v>
      </c>
      <c r="X7" s="16" t="s">
        <v>1159</v>
      </c>
      <c r="Y7" s="16" t="s">
        <v>1160</v>
      </c>
      <c r="Z7" s="16" t="s">
        <v>1161</v>
      </c>
      <c r="AA7" s="16" t="s">
        <v>1162</v>
      </c>
      <c r="AB7" s="16" t="s">
        <v>1163</v>
      </c>
      <c r="AC7" s="16" t="s">
        <v>1164</v>
      </c>
      <c r="AD7" s="16" t="s">
        <v>1165</v>
      </c>
      <c r="AE7" s="16" t="s">
        <v>1166</v>
      </c>
      <c r="AF7" s="16" t="s">
        <v>1167</v>
      </c>
      <c r="AG7" s="16" t="s">
        <v>1168</v>
      </c>
      <c r="AH7" s="16" t="s">
        <v>1169</v>
      </c>
      <c r="AI7" s="16" t="s">
        <v>1170</v>
      </c>
      <c r="AJ7" s="16" t="s">
        <v>1171</v>
      </c>
      <c r="AK7" s="16" t="s">
        <v>1172</v>
      </c>
      <c r="AL7" s="16" t="s">
        <v>1173</v>
      </c>
      <c r="AM7" s="16" t="s">
        <v>1174</v>
      </c>
      <c r="AN7" s="16" t="s">
        <v>1175</v>
      </c>
      <c r="AO7" s="16" t="s">
        <v>1176</v>
      </c>
      <c r="AP7" s="16" t="s">
        <v>1177</v>
      </c>
      <c r="AQ7" s="16" t="s">
        <v>1178</v>
      </c>
      <c r="AR7" s="16" t="s">
        <v>1179</v>
      </c>
      <c r="AS7" s="16" t="s">
        <v>1180</v>
      </c>
      <c r="AT7" s="16" t="s">
        <v>1181</v>
      </c>
      <c r="AU7" s="16" t="s">
        <v>1182</v>
      </c>
      <c r="AV7" s="16" t="s">
        <v>1183</v>
      </c>
      <c r="AW7" s="16" t="s">
        <v>1184</v>
      </c>
      <c r="AX7" s="16" t="s">
        <v>1185</v>
      </c>
      <c r="AY7" s="16" t="s">
        <v>1186</v>
      </c>
      <c r="AZ7" s="16" t="s">
        <v>1187</v>
      </c>
      <c r="BA7" s="16" t="s">
        <v>1188</v>
      </c>
      <c r="BB7" s="16" t="s">
        <v>1189</v>
      </c>
      <c r="BC7" s="16" t="s">
        <v>1190</v>
      </c>
      <c r="BD7" s="16" t="s">
        <v>1191</v>
      </c>
      <c r="BE7" s="16" t="s">
        <v>1192</v>
      </c>
      <c r="BF7" s="16" t="s">
        <v>1193</v>
      </c>
      <c r="BG7" s="16" t="s">
        <v>1194</v>
      </c>
      <c r="BH7" s="16" t="s">
        <v>1195</v>
      </c>
      <c r="BI7" s="16" t="s">
        <v>1196</v>
      </c>
      <c r="BJ7" s="16" t="s">
        <v>1197</v>
      </c>
      <c r="BK7" s="16" t="s">
        <v>1198</v>
      </c>
      <c r="BL7" s="16" t="s">
        <v>1199</v>
      </c>
      <c r="BM7" s="16" t="s">
        <v>1200</v>
      </c>
      <c r="BN7" s="16" t="s">
        <v>1201</v>
      </c>
      <c r="BO7" s="16" t="s">
        <v>1202</v>
      </c>
      <c r="BP7" s="16" t="s">
        <v>1203</v>
      </c>
      <c r="BQ7" s="16" t="s">
        <v>1204</v>
      </c>
      <c r="BR7" s="16" t="s">
        <v>1205</v>
      </c>
      <c r="BS7" s="16" t="s">
        <v>1206</v>
      </c>
      <c r="BT7" s="16" t="s">
        <v>1207</v>
      </c>
      <c r="BU7" s="16" t="s">
        <v>1208</v>
      </c>
      <c r="BV7" s="16" t="s">
        <v>1209</v>
      </c>
      <c r="BW7" s="16" t="s">
        <v>1210</v>
      </c>
      <c r="BX7" s="16" t="s">
        <v>1211</v>
      </c>
      <c r="BY7" s="16" t="s">
        <v>1212</v>
      </c>
      <c r="BZ7" s="16" t="s">
        <v>1213</v>
      </c>
      <c r="CA7" s="16" t="s">
        <v>1214</v>
      </c>
      <c r="CB7" s="16" t="s">
        <v>1215</v>
      </c>
      <c r="CC7" s="16" t="s">
        <v>1216</v>
      </c>
      <c r="CD7" s="16" t="s">
        <v>1217</v>
      </c>
      <c r="CE7" s="16" t="s">
        <v>1218</v>
      </c>
      <c r="CF7" s="16" t="s">
        <v>1219</v>
      </c>
      <c r="CG7" s="16" t="s">
        <v>1220</v>
      </c>
      <c r="CH7" s="16" t="s">
        <v>1221</v>
      </c>
      <c r="CI7" s="16" t="s">
        <v>1222</v>
      </c>
      <c r="CJ7" s="16" t="s">
        <v>1223</v>
      </c>
      <c r="CK7" s="16" t="s">
        <v>1224</v>
      </c>
      <c r="CL7" s="16" t="s">
        <v>1225</v>
      </c>
      <c r="CM7" s="16" t="s">
        <v>1226</v>
      </c>
      <c r="CN7" s="16" t="s">
        <v>1227</v>
      </c>
      <c r="CO7" s="16" t="s">
        <v>1228</v>
      </c>
      <c r="CP7" s="16" t="s">
        <v>1229</v>
      </c>
      <c r="CQ7" s="16" t="s">
        <v>1230</v>
      </c>
      <c r="CR7" s="16" t="s">
        <v>1231</v>
      </c>
      <c r="CS7" s="16" t="s">
        <v>1232</v>
      </c>
      <c r="CT7" s="16" t="s">
        <v>1233</v>
      </c>
      <c r="CU7" s="16" t="s">
        <v>1234</v>
      </c>
      <c r="CV7" s="16" t="s">
        <v>1235</v>
      </c>
      <c r="CW7" s="16" t="s">
        <v>1236</v>
      </c>
      <c r="CX7" s="16" t="s">
        <v>1237</v>
      </c>
      <c r="CY7" s="16" t="s">
        <v>1238</v>
      </c>
      <c r="CZ7" s="16" t="s">
        <v>1239</v>
      </c>
      <c r="DA7" s="16" t="s">
        <v>1240</v>
      </c>
      <c r="DB7" s="16" t="s">
        <v>1241</v>
      </c>
      <c r="DC7" s="16" t="s">
        <v>1242</v>
      </c>
      <c r="DD7" s="16" t="s">
        <v>1243</v>
      </c>
      <c r="DE7" s="16" t="s">
        <v>1244</v>
      </c>
      <c r="DF7" s="16" t="s">
        <v>1245</v>
      </c>
      <c r="DG7" s="16" t="s">
        <v>1246</v>
      </c>
      <c r="DH7" s="16" t="s">
        <v>1247</v>
      </c>
      <c r="DI7" s="16" t="s">
        <v>1248</v>
      </c>
      <c r="DJ7" s="16" t="s">
        <v>1249</v>
      </c>
      <c r="DK7" s="16" t="s">
        <v>1250</v>
      </c>
      <c r="DL7" s="16" t="s">
        <v>1251</v>
      </c>
      <c r="DM7" s="16" t="s">
        <v>1252</v>
      </c>
      <c r="DN7" s="16" t="s">
        <v>1253</v>
      </c>
      <c r="DO7" s="16" t="s">
        <v>1254</v>
      </c>
      <c r="DP7" s="16" t="s">
        <v>1255</v>
      </c>
      <c r="DQ7" s="16" t="s">
        <v>1256</v>
      </c>
      <c r="DR7" s="16" t="s">
        <v>1257</v>
      </c>
      <c r="DS7" s="16" t="s">
        <v>1258</v>
      </c>
      <c r="DT7" s="16" t="s">
        <v>1259</v>
      </c>
      <c r="DU7" s="16" t="s">
        <v>1260</v>
      </c>
      <c r="DV7" s="16" t="s">
        <v>1261</v>
      </c>
      <c r="DW7" s="16" t="s">
        <v>1262</v>
      </c>
      <c r="DX7" s="16" t="s">
        <v>1263</v>
      </c>
      <c r="DY7" s="16" t="s">
        <v>1264</v>
      </c>
      <c r="DZ7" s="16" t="s">
        <v>1265</v>
      </c>
      <c r="EA7" s="16" t="s">
        <v>1266</v>
      </c>
      <c r="EB7" s="16" t="s">
        <v>1267</v>
      </c>
      <c r="EC7" s="16" t="s">
        <v>1268</v>
      </c>
      <c r="ED7" s="16" t="s">
        <v>1269</v>
      </c>
      <c r="EE7" s="16" t="s">
        <v>1270</v>
      </c>
      <c r="EF7" s="16" t="s">
        <v>1271</v>
      </c>
      <c r="EG7" s="16" t="s">
        <v>1272</v>
      </c>
      <c r="EH7" s="16" t="s">
        <v>1273</v>
      </c>
      <c r="EI7" s="16" t="s">
        <v>1274</v>
      </c>
      <c r="EJ7" s="16" t="s">
        <v>1275</v>
      </c>
      <c r="EK7" s="16" t="s">
        <v>1276</v>
      </c>
      <c r="EL7" s="16" t="s">
        <v>1277</v>
      </c>
      <c r="EM7" s="16" t="s">
        <v>1278</v>
      </c>
      <c r="EN7" s="16" t="s">
        <v>1279</v>
      </c>
      <c r="EO7" s="16" t="s">
        <v>1280</v>
      </c>
      <c r="EP7" s="16" t="s">
        <v>1281</v>
      </c>
      <c r="EQ7" s="16" t="s">
        <v>1282</v>
      </c>
      <c r="ER7" s="16" t="s">
        <v>1283</v>
      </c>
      <c r="ES7" s="16" t="s">
        <v>1284</v>
      </c>
      <c r="ET7" s="16" t="s">
        <v>1285</v>
      </c>
      <c r="EU7" s="16" t="s">
        <v>1286</v>
      </c>
      <c r="EV7" s="16" t="s">
        <v>1287</v>
      </c>
      <c r="EW7" s="16" t="s">
        <v>1288</v>
      </c>
      <c r="EX7" s="16" t="s">
        <v>1289</v>
      </c>
      <c r="EY7" s="16" t="s">
        <v>1290</v>
      </c>
      <c r="EZ7" s="16" t="s">
        <v>1291</v>
      </c>
      <c r="FA7" s="16" t="s">
        <v>1292</v>
      </c>
      <c r="FB7" s="16" t="s">
        <v>1293</v>
      </c>
      <c r="FC7" s="16" t="s">
        <v>1294</v>
      </c>
      <c r="FD7" s="16" t="s">
        <v>1295</v>
      </c>
      <c r="FE7" s="16" t="s">
        <v>1296</v>
      </c>
      <c r="FF7" s="16" t="s">
        <v>1297</v>
      </c>
      <c r="FG7" s="16" t="s">
        <v>1298</v>
      </c>
      <c r="FH7" s="16" t="s">
        <v>1299</v>
      </c>
      <c r="FI7" s="16" t="s">
        <v>1300</v>
      </c>
      <c r="FJ7" s="16" t="s">
        <v>1301</v>
      </c>
      <c r="FK7" s="16" t="s">
        <v>1302</v>
      </c>
      <c r="FL7" s="16" t="s">
        <v>1303</v>
      </c>
      <c r="FM7" s="16" t="s">
        <v>1304</v>
      </c>
      <c r="FN7" s="16" t="s">
        <v>1305</v>
      </c>
      <c r="FO7" s="16" t="s">
        <v>1306</v>
      </c>
      <c r="FP7" s="16" t="s">
        <v>1307</v>
      </c>
      <c r="FQ7" s="16" t="s">
        <v>1308</v>
      </c>
      <c r="FR7" s="16" t="s">
        <v>1309</v>
      </c>
      <c r="FS7" s="16" t="s">
        <v>1310</v>
      </c>
      <c r="FT7" s="16" t="s">
        <v>91</v>
      </c>
      <c r="FU7" s="16" t="s">
        <v>1311</v>
      </c>
    </row>
    <row r="8" spans="1:177" ht="86.4" customHeight="1" x14ac:dyDescent="0.3">
      <c r="F8" s="16" t="s">
        <v>1312</v>
      </c>
      <c r="G8" s="16" t="s">
        <v>1313</v>
      </c>
      <c r="H8" s="16" t="s">
        <v>1314</v>
      </c>
      <c r="I8" s="16" t="s">
        <v>1315</v>
      </c>
      <c r="J8" s="16" t="s">
        <v>1316</v>
      </c>
      <c r="K8" s="16" t="s">
        <v>1317</v>
      </c>
      <c r="L8" s="16" t="s">
        <v>1318</v>
      </c>
      <c r="M8" s="16" t="s">
        <v>1319</v>
      </c>
      <c r="N8" s="16" t="s">
        <v>1320</v>
      </c>
      <c r="O8" s="16" t="s">
        <v>1321</v>
      </c>
      <c r="P8" s="16" t="s">
        <v>1322</v>
      </c>
      <c r="Q8" s="16" t="s">
        <v>1323</v>
      </c>
      <c r="R8" s="16" t="s">
        <v>1324</v>
      </c>
      <c r="S8" s="16" t="s">
        <v>1325</v>
      </c>
      <c r="T8" s="16" t="s">
        <v>1326</v>
      </c>
      <c r="U8" s="16" t="s">
        <v>1327</v>
      </c>
      <c r="V8" s="16" t="s">
        <v>1328</v>
      </c>
      <c r="W8" s="16" t="s">
        <v>1329</v>
      </c>
      <c r="X8" s="16" t="s">
        <v>1330</v>
      </c>
      <c r="Y8" s="16" t="s">
        <v>1331</v>
      </c>
      <c r="Z8" s="16" t="s">
        <v>1332</v>
      </c>
      <c r="AA8" s="16" t="s">
        <v>1333</v>
      </c>
      <c r="AB8" s="16" t="s">
        <v>1334</v>
      </c>
      <c r="AC8" s="16" t="s">
        <v>1335</v>
      </c>
      <c r="AD8" s="16" t="s">
        <v>1336</v>
      </c>
      <c r="AE8" s="16" t="s">
        <v>1337</v>
      </c>
      <c r="AF8" s="16" t="s">
        <v>1338</v>
      </c>
      <c r="AG8" s="16" t="s">
        <v>1339</v>
      </c>
      <c r="AH8" s="16" t="s">
        <v>1340</v>
      </c>
      <c r="AI8" s="16" t="s">
        <v>1341</v>
      </c>
      <c r="AJ8" s="16" t="s">
        <v>1342</v>
      </c>
      <c r="AK8" s="16" t="s">
        <v>1343</v>
      </c>
      <c r="AL8" s="16" t="s">
        <v>1344</v>
      </c>
      <c r="AM8" s="16" t="s">
        <v>1345</v>
      </c>
      <c r="AN8" s="16" t="s">
        <v>1346</v>
      </c>
      <c r="AO8" s="16" t="s">
        <v>1347</v>
      </c>
      <c r="AP8" s="16" t="s">
        <v>1348</v>
      </c>
      <c r="AQ8" s="16" t="s">
        <v>1349</v>
      </c>
      <c r="AR8" s="16" t="s">
        <v>1350</v>
      </c>
      <c r="AS8" s="16" t="s">
        <v>1351</v>
      </c>
      <c r="AT8" s="16" t="s">
        <v>1352</v>
      </c>
      <c r="AU8" s="16" t="s">
        <v>1353</v>
      </c>
      <c r="AV8" s="16" t="s">
        <v>1354</v>
      </c>
      <c r="AW8" s="16" t="s">
        <v>1355</v>
      </c>
      <c r="AX8" s="16" t="s">
        <v>1356</v>
      </c>
      <c r="AY8" s="16" t="s">
        <v>1357</v>
      </c>
      <c r="AZ8" s="16" t="s">
        <v>1358</v>
      </c>
      <c r="BA8" s="16" t="s">
        <v>1359</v>
      </c>
      <c r="BB8" s="16" t="s">
        <v>1360</v>
      </c>
      <c r="BC8" s="16" t="s">
        <v>1361</v>
      </c>
      <c r="BD8" s="16" t="s">
        <v>1362</v>
      </c>
      <c r="BE8" s="16" t="s">
        <v>1363</v>
      </c>
      <c r="BF8" s="16" t="s">
        <v>1364</v>
      </c>
      <c r="BG8" s="16" t="s">
        <v>1365</v>
      </c>
      <c r="BH8" s="16" t="s">
        <v>1366</v>
      </c>
      <c r="BI8" s="16" t="s">
        <v>1367</v>
      </c>
      <c r="BJ8" s="16" t="s">
        <v>1368</v>
      </c>
      <c r="BK8" s="16" t="s">
        <v>1369</v>
      </c>
      <c r="BL8" s="16" t="s">
        <v>1370</v>
      </c>
      <c r="BM8" s="16" t="s">
        <v>1371</v>
      </c>
      <c r="BN8" s="16" t="s">
        <v>1372</v>
      </c>
      <c r="BO8" s="16" t="s">
        <v>1373</v>
      </c>
      <c r="BP8" s="16" t="s">
        <v>1374</v>
      </c>
      <c r="BQ8" s="16" t="s">
        <v>1375</v>
      </c>
      <c r="BR8" s="16" t="s">
        <v>1376</v>
      </c>
      <c r="BS8" s="16" t="s">
        <v>1377</v>
      </c>
      <c r="BT8" s="16" t="s">
        <v>1378</v>
      </c>
      <c r="BU8" s="16" t="s">
        <v>1379</v>
      </c>
      <c r="BV8" s="16" t="s">
        <v>1380</v>
      </c>
      <c r="BW8" s="16" t="s">
        <v>1381</v>
      </c>
      <c r="BX8" s="16" t="s">
        <v>1382</v>
      </c>
      <c r="BY8" s="16" t="s">
        <v>1383</v>
      </c>
      <c r="BZ8" s="16" t="s">
        <v>1384</v>
      </c>
      <c r="CA8" s="16" t="s">
        <v>1385</v>
      </c>
      <c r="CB8" s="16" t="s">
        <v>1386</v>
      </c>
      <c r="CC8" s="16" t="s">
        <v>1387</v>
      </c>
      <c r="CD8" s="16" t="s">
        <v>1388</v>
      </c>
      <c r="CE8" s="16" t="s">
        <v>1389</v>
      </c>
      <c r="CF8" s="16" t="s">
        <v>1390</v>
      </c>
      <c r="CG8" s="16" t="s">
        <v>1391</v>
      </c>
      <c r="CH8" s="16" t="s">
        <v>1392</v>
      </c>
      <c r="CI8" s="16" t="s">
        <v>1393</v>
      </c>
      <c r="CJ8" s="16" t="s">
        <v>1394</v>
      </c>
      <c r="CK8" s="16" t="s">
        <v>1395</v>
      </c>
      <c r="CL8" s="16" t="s">
        <v>1396</v>
      </c>
      <c r="CM8" s="16" t="s">
        <v>1397</v>
      </c>
      <c r="CN8" s="16" t="s">
        <v>1398</v>
      </c>
      <c r="CO8" s="16" t="s">
        <v>1399</v>
      </c>
      <c r="CP8" s="16" t="s">
        <v>1400</v>
      </c>
      <c r="CQ8" s="16" t="s">
        <v>1401</v>
      </c>
      <c r="CR8" s="16" t="s">
        <v>1402</v>
      </c>
      <c r="CS8" s="16" t="s">
        <v>1403</v>
      </c>
      <c r="CT8" s="16" t="s">
        <v>1404</v>
      </c>
      <c r="CU8" s="16" t="s">
        <v>1405</v>
      </c>
      <c r="CV8" s="16" t="s">
        <v>1406</v>
      </c>
      <c r="CW8" s="16" t="s">
        <v>1407</v>
      </c>
      <c r="CX8" s="16" t="s">
        <v>1408</v>
      </c>
      <c r="CY8" s="16" t="s">
        <v>1409</v>
      </c>
      <c r="CZ8" s="16" t="s">
        <v>1410</v>
      </c>
      <c r="DA8" s="16" t="s">
        <v>1411</v>
      </c>
      <c r="DB8" s="16" t="s">
        <v>1412</v>
      </c>
      <c r="DC8" s="16" t="s">
        <v>1413</v>
      </c>
      <c r="DD8" s="16" t="s">
        <v>1414</v>
      </c>
      <c r="DE8" s="16" t="s">
        <v>1415</v>
      </c>
      <c r="DF8" s="16" t="s">
        <v>1416</v>
      </c>
      <c r="DG8" s="16" t="s">
        <v>1417</v>
      </c>
      <c r="DH8" s="16" t="s">
        <v>1418</v>
      </c>
      <c r="DI8" s="16" t="s">
        <v>1419</v>
      </c>
      <c r="DJ8" s="16" t="s">
        <v>1420</v>
      </c>
      <c r="DK8" s="16" t="s">
        <v>1421</v>
      </c>
      <c r="DL8" s="16" t="s">
        <v>1422</v>
      </c>
      <c r="DM8" s="16" t="s">
        <v>1423</v>
      </c>
      <c r="DN8" s="16" t="s">
        <v>1424</v>
      </c>
      <c r="DO8" s="16" t="s">
        <v>1425</v>
      </c>
      <c r="DP8" s="16" t="s">
        <v>1426</v>
      </c>
      <c r="DQ8" s="16" t="s">
        <v>1427</v>
      </c>
      <c r="DR8" s="16" t="s">
        <v>1428</v>
      </c>
      <c r="DS8" s="16" t="s">
        <v>1429</v>
      </c>
      <c r="DT8" s="16" t="s">
        <v>1430</v>
      </c>
      <c r="DU8" s="16" t="s">
        <v>1431</v>
      </c>
      <c r="DV8" s="16" t="s">
        <v>1432</v>
      </c>
      <c r="DW8" s="16" t="s">
        <v>1433</v>
      </c>
      <c r="DX8" s="16" t="s">
        <v>1434</v>
      </c>
      <c r="DY8" s="16" t="s">
        <v>1435</v>
      </c>
      <c r="DZ8" s="16" t="s">
        <v>1436</v>
      </c>
      <c r="EA8" s="16" t="s">
        <v>1437</v>
      </c>
      <c r="EB8" s="16" t="s">
        <v>1438</v>
      </c>
      <c r="EC8" s="16" t="s">
        <v>1439</v>
      </c>
      <c r="ED8" s="16" t="s">
        <v>1440</v>
      </c>
      <c r="EE8" s="16" t="s">
        <v>1441</v>
      </c>
      <c r="EF8" s="16" t="s">
        <v>1442</v>
      </c>
      <c r="EG8" s="16" t="s">
        <v>1443</v>
      </c>
      <c r="EH8" s="16" t="s">
        <v>1444</v>
      </c>
      <c r="EI8" s="16" t="s">
        <v>1445</v>
      </c>
      <c r="EJ8" s="16" t="s">
        <v>1446</v>
      </c>
      <c r="EK8" s="16" t="s">
        <v>1447</v>
      </c>
      <c r="EL8" s="16" t="s">
        <v>1448</v>
      </c>
      <c r="EM8" s="16" t="s">
        <v>1449</v>
      </c>
      <c r="EN8" s="16" t="s">
        <v>1450</v>
      </c>
      <c r="EO8" s="16" t="s">
        <v>1451</v>
      </c>
      <c r="EP8" s="16" t="s">
        <v>1452</v>
      </c>
      <c r="EQ8" s="16" t="s">
        <v>1453</v>
      </c>
      <c r="ER8" s="16" t="s">
        <v>1454</v>
      </c>
      <c r="ES8" s="16" t="s">
        <v>1455</v>
      </c>
      <c r="ET8" s="16" t="s">
        <v>1456</v>
      </c>
      <c r="EU8" s="16" t="s">
        <v>1457</v>
      </c>
      <c r="EV8" s="16" t="s">
        <v>1458</v>
      </c>
      <c r="EW8" s="16" t="s">
        <v>1459</v>
      </c>
      <c r="EX8" s="16" t="s">
        <v>1460</v>
      </c>
      <c r="EY8" s="16" t="s">
        <v>1461</v>
      </c>
      <c r="EZ8" s="16" t="s">
        <v>1462</v>
      </c>
      <c r="FA8" s="16" t="s">
        <v>1463</v>
      </c>
      <c r="FB8" s="16" t="s">
        <v>1464</v>
      </c>
      <c r="FC8" s="16" t="s">
        <v>1465</v>
      </c>
      <c r="FD8" s="16" t="s">
        <v>1466</v>
      </c>
      <c r="FE8" s="16" t="s">
        <v>1467</v>
      </c>
      <c r="FF8" s="16" t="s">
        <v>1468</v>
      </c>
      <c r="FG8" s="16" t="s">
        <v>1469</v>
      </c>
      <c r="FH8" s="16" t="s">
        <v>1470</v>
      </c>
      <c r="FI8" s="16" t="s">
        <v>1471</v>
      </c>
      <c r="FJ8" s="16" t="s">
        <v>1472</v>
      </c>
      <c r="FK8" s="16" t="s">
        <v>1473</v>
      </c>
      <c r="FL8" s="16" t="s">
        <v>1474</v>
      </c>
      <c r="FM8" s="16" t="s">
        <v>1475</v>
      </c>
      <c r="FN8" s="16" t="s">
        <v>1476</v>
      </c>
      <c r="FO8" s="16" t="s">
        <v>1477</v>
      </c>
      <c r="FP8" s="16" t="s">
        <v>1478</v>
      </c>
      <c r="FQ8" s="16" t="s">
        <v>1479</v>
      </c>
      <c r="FR8" s="16" t="s">
        <v>1480</v>
      </c>
      <c r="FS8" s="16" t="s">
        <v>1481</v>
      </c>
      <c r="FT8" s="16" t="s">
        <v>1482</v>
      </c>
      <c r="FU8" s="16" t="s">
        <v>1483</v>
      </c>
    </row>
    <row r="9" spans="1:177" ht="86.4" customHeight="1" x14ac:dyDescent="0.3">
      <c r="F9" s="16" t="s">
        <v>1484</v>
      </c>
      <c r="G9" s="16" t="s">
        <v>1485</v>
      </c>
      <c r="H9" s="16" t="s">
        <v>1486</v>
      </c>
      <c r="I9" s="16" t="s">
        <v>1487</v>
      </c>
      <c r="J9" s="16" t="s">
        <v>1488</v>
      </c>
      <c r="K9" s="16" t="s">
        <v>1489</v>
      </c>
      <c r="L9" s="16" t="s">
        <v>1490</v>
      </c>
      <c r="M9" s="16" t="s">
        <v>1491</v>
      </c>
      <c r="N9" s="16" t="s">
        <v>1492</v>
      </c>
      <c r="O9" s="16" t="s">
        <v>1493</v>
      </c>
      <c r="P9" s="16" t="s">
        <v>1494</v>
      </c>
      <c r="Q9" s="16" t="s">
        <v>1495</v>
      </c>
      <c r="R9" s="16" t="s">
        <v>1496</v>
      </c>
      <c r="S9" s="16" t="s">
        <v>1497</v>
      </c>
      <c r="T9" s="16" t="s">
        <v>1498</v>
      </c>
      <c r="U9" s="16" t="s">
        <v>1499</v>
      </c>
      <c r="V9" s="16" t="s">
        <v>1500</v>
      </c>
      <c r="W9" s="16" t="s">
        <v>1501</v>
      </c>
      <c r="X9" s="16" t="s">
        <v>1502</v>
      </c>
      <c r="Y9" s="16" t="s">
        <v>1503</v>
      </c>
      <c r="Z9" s="16" t="s">
        <v>1504</v>
      </c>
      <c r="AA9" s="16" t="s">
        <v>1505</v>
      </c>
      <c r="AB9" s="16" t="s">
        <v>1506</v>
      </c>
      <c r="AC9" s="16" t="s">
        <v>1507</v>
      </c>
      <c r="AD9" s="16" t="s">
        <v>1508</v>
      </c>
      <c r="AE9" s="16" t="s">
        <v>1509</v>
      </c>
      <c r="AF9" s="16" t="s">
        <v>1510</v>
      </c>
      <c r="AG9" s="16" t="s">
        <v>1511</v>
      </c>
      <c r="AH9" s="16" t="s">
        <v>1512</v>
      </c>
      <c r="AI9" s="16" t="s">
        <v>1513</v>
      </c>
      <c r="AJ9" s="16" t="s">
        <v>1514</v>
      </c>
      <c r="AK9" s="16" t="s">
        <v>1515</v>
      </c>
      <c r="AL9" s="16" t="s">
        <v>1516</v>
      </c>
      <c r="AM9" s="16" t="s">
        <v>1517</v>
      </c>
      <c r="AN9" s="16" t="s">
        <v>1518</v>
      </c>
      <c r="AO9" s="16" t="s">
        <v>1519</v>
      </c>
      <c r="AP9" s="16" t="s">
        <v>1520</v>
      </c>
      <c r="AQ9" s="16" t="s">
        <v>1521</v>
      </c>
      <c r="AR9" s="16" t="s">
        <v>1522</v>
      </c>
      <c r="AS9" s="16" t="s">
        <v>1523</v>
      </c>
      <c r="AT9" s="16" t="s">
        <v>1524</v>
      </c>
      <c r="AU9" s="16" t="s">
        <v>76</v>
      </c>
      <c r="AV9" s="16" t="s">
        <v>1525</v>
      </c>
      <c r="AW9" s="16" t="s">
        <v>1526</v>
      </c>
      <c r="AX9" s="16" t="s">
        <v>1527</v>
      </c>
      <c r="AY9" s="16" t="s">
        <v>1528</v>
      </c>
      <c r="AZ9" s="16" t="s">
        <v>1529</v>
      </c>
      <c r="BA9" s="16" t="s">
        <v>1530</v>
      </c>
      <c r="BB9" s="16" t="s">
        <v>1531</v>
      </c>
      <c r="BC9" s="16" t="s">
        <v>1532</v>
      </c>
      <c r="BD9" s="16" t="s">
        <v>1533</v>
      </c>
      <c r="BE9" s="16" t="s">
        <v>1534</v>
      </c>
      <c r="BF9" s="16" t="s">
        <v>1535</v>
      </c>
      <c r="BG9" s="16" t="s">
        <v>1536</v>
      </c>
      <c r="BH9" s="16" t="s">
        <v>1537</v>
      </c>
      <c r="BI9" s="16" t="s">
        <v>1538</v>
      </c>
      <c r="BJ9" s="16" t="s">
        <v>1539</v>
      </c>
      <c r="BK9" s="16" t="s">
        <v>1540</v>
      </c>
      <c r="BL9" s="16" t="s">
        <v>1541</v>
      </c>
      <c r="BM9" s="16" t="s">
        <v>1542</v>
      </c>
      <c r="BN9" s="16" t="s">
        <v>1543</v>
      </c>
      <c r="BO9" s="16" t="s">
        <v>1544</v>
      </c>
      <c r="BP9" s="16" t="s">
        <v>1545</v>
      </c>
      <c r="BQ9" s="16" t="s">
        <v>1546</v>
      </c>
      <c r="BR9" s="16" t="s">
        <v>1547</v>
      </c>
      <c r="BS9" s="16" t="s">
        <v>1548</v>
      </c>
      <c r="BT9" s="16" t="s">
        <v>1549</v>
      </c>
      <c r="BU9" s="16" t="s">
        <v>1550</v>
      </c>
      <c r="BV9" s="16" t="s">
        <v>1551</v>
      </c>
      <c r="BW9" s="16" t="s">
        <v>1552</v>
      </c>
      <c r="BX9" s="16" t="s">
        <v>1553</v>
      </c>
      <c r="BY9" s="16" t="s">
        <v>1554</v>
      </c>
      <c r="BZ9" s="16" t="s">
        <v>1555</v>
      </c>
      <c r="CA9" s="16" t="s">
        <v>1556</v>
      </c>
      <c r="CB9" s="16" t="s">
        <v>1557</v>
      </c>
      <c r="CC9" s="16" t="s">
        <v>1558</v>
      </c>
      <c r="CD9" s="16" t="s">
        <v>1559</v>
      </c>
      <c r="CE9" s="16" t="s">
        <v>1560</v>
      </c>
      <c r="CF9" s="16" t="s">
        <v>1561</v>
      </c>
      <c r="CG9" s="16" t="s">
        <v>1562</v>
      </c>
      <c r="CH9" s="16" t="s">
        <v>1563</v>
      </c>
      <c r="CI9" s="16" t="s">
        <v>1564</v>
      </c>
      <c r="CJ9" s="16" t="s">
        <v>1565</v>
      </c>
      <c r="CK9" s="16" t="s">
        <v>1566</v>
      </c>
      <c r="CL9" s="16" t="s">
        <v>1567</v>
      </c>
      <c r="CM9" s="16" t="s">
        <v>1568</v>
      </c>
      <c r="CN9" s="16" t="s">
        <v>1569</v>
      </c>
      <c r="CO9" s="16" t="s">
        <v>1570</v>
      </c>
      <c r="CP9" s="16" t="s">
        <v>1571</v>
      </c>
      <c r="CQ9" s="16" t="s">
        <v>1572</v>
      </c>
      <c r="CR9" s="16" t="s">
        <v>1573</v>
      </c>
      <c r="CS9" s="16" t="s">
        <v>1574</v>
      </c>
      <c r="CT9" s="16" t="s">
        <v>1575</v>
      </c>
      <c r="CU9" s="16" t="s">
        <v>1576</v>
      </c>
      <c r="CV9" s="16" t="s">
        <v>1577</v>
      </c>
      <c r="CW9" s="16" t="s">
        <v>1578</v>
      </c>
      <c r="CX9" s="16" t="s">
        <v>1579</v>
      </c>
      <c r="CY9" s="16" t="s">
        <v>1580</v>
      </c>
      <c r="CZ9" s="16" t="s">
        <v>1581</v>
      </c>
      <c r="DA9" s="16" t="s">
        <v>1582</v>
      </c>
      <c r="DB9" s="16" t="s">
        <v>80</v>
      </c>
      <c r="DC9" s="16" t="s">
        <v>1583</v>
      </c>
      <c r="DD9" s="16" t="s">
        <v>1584</v>
      </c>
      <c r="DE9" s="16" t="s">
        <v>1585</v>
      </c>
      <c r="DF9" s="16" t="s">
        <v>1586</v>
      </c>
      <c r="DG9" s="16" t="s">
        <v>1587</v>
      </c>
      <c r="DH9" s="16" t="s">
        <v>1588</v>
      </c>
      <c r="DI9" s="16" t="s">
        <v>1589</v>
      </c>
      <c r="DJ9" s="16" t="s">
        <v>1590</v>
      </c>
      <c r="DK9" s="16" t="s">
        <v>1591</v>
      </c>
      <c r="DL9" s="16" t="s">
        <v>1592</v>
      </c>
      <c r="DM9" s="16" t="s">
        <v>1593</v>
      </c>
      <c r="DN9" s="16" t="s">
        <v>1594</v>
      </c>
      <c r="DO9" s="16" t="s">
        <v>1595</v>
      </c>
      <c r="DP9" s="16" t="s">
        <v>1596</v>
      </c>
      <c r="DQ9" s="16" t="s">
        <v>1597</v>
      </c>
      <c r="DR9" s="16" t="s">
        <v>1598</v>
      </c>
      <c r="DS9" s="16" t="s">
        <v>1599</v>
      </c>
      <c r="DT9" s="16" t="s">
        <v>1600</v>
      </c>
      <c r="DU9" s="16" t="s">
        <v>1601</v>
      </c>
      <c r="DV9" s="16" t="s">
        <v>1602</v>
      </c>
      <c r="DW9" s="16" t="s">
        <v>1576</v>
      </c>
      <c r="DX9" s="16" t="s">
        <v>1603</v>
      </c>
      <c r="DY9" s="16" t="s">
        <v>1604</v>
      </c>
      <c r="DZ9" s="16" t="s">
        <v>1605</v>
      </c>
      <c r="EA9" s="16" t="s">
        <v>1606</v>
      </c>
      <c r="EB9" s="16" t="s">
        <v>1607</v>
      </c>
      <c r="EC9" s="16" t="s">
        <v>1608</v>
      </c>
      <c r="ED9" s="16" t="s">
        <v>1609</v>
      </c>
      <c r="EE9" s="16" t="s">
        <v>1610</v>
      </c>
      <c r="EF9" s="16" t="s">
        <v>1611</v>
      </c>
      <c r="EG9" s="16" t="s">
        <v>1612</v>
      </c>
      <c r="EH9" s="16" t="s">
        <v>1613</v>
      </c>
      <c r="EI9" s="16" t="s">
        <v>1614</v>
      </c>
      <c r="EJ9" s="16" t="s">
        <v>1615</v>
      </c>
      <c r="EK9" s="16" t="s">
        <v>1616</v>
      </c>
      <c r="EL9" s="16" t="s">
        <v>1617</v>
      </c>
      <c r="EM9" s="16" t="s">
        <v>1618</v>
      </c>
      <c r="EN9" s="16" t="s">
        <v>1619</v>
      </c>
      <c r="EO9" s="16" t="s">
        <v>1620</v>
      </c>
      <c r="EP9" s="16" t="s">
        <v>1621</v>
      </c>
      <c r="EQ9" s="16" t="s">
        <v>1622</v>
      </c>
      <c r="ER9" s="16" t="s">
        <v>1623</v>
      </c>
      <c r="ES9" s="16" t="s">
        <v>1624</v>
      </c>
      <c r="ET9" s="16" t="s">
        <v>1625</v>
      </c>
      <c r="EU9" s="16" t="s">
        <v>1626</v>
      </c>
      <c r="EV9" s="16" t="s">
        <v>1627</v>
      </c>
      <c r="EW9" s="16" t="s">
        <v>1628</v>
      </c>
      <c r="EX9" s="16" t="s">
        <v>1629</v>
      </c>
      <c r="EY9" s="16" t="s">
        <v>1630</v>
      </c>
      <c r="EZ9" s="16" t="s">
        <v>1631</v>
      </c>
      <c r="FA9" s="16" t="s">
        <v>1632</v>
      </c>
      <c r="FB9" s="16" t="s">
        <v>1633</v>
      </c>
      <c r="FC9" s="16" t="s">
        <v>1634</v>
      </c>
      <c r="FD9" s="16" t="s">
        <v>1635</v>
      </c>
      <c r="FE9" s="16" t="s">
        <v>1636</v>
      </c>
      <c r="FF9" s="16" t="s">
        <v>1637</v>
      </c>
      <c r="FG9" s="16" t="s">
        <v>1638</v>
      </c>
      <c r="FH9" s="16" t="s">
        <v>1639</v>
      </c>
      <c r="FI9" s="16" t="s">
        <v>1640</v>
      </c>
      <c r="FJ9" s="16" t="s">
        <v>1641</v>
      </c>
      <c r="FK9" s="16" t="s">
        <v>1642</v>
      </c>
      <c r="FL9" s="16" t="s">
        <v>1643</v>
      </c>
      <c r="FM9" s="16" t="s">
        <v>1644</v>
      </c>
      <c r="FN9" s="16" t="s">
        <v>1645</v>
      </c>
      <c r="FO9" s="16" t="s">
        <v>1646</v>
      </c>
      <c r="FP9" s="16" t="s">
        <v>1647</v>
      </c>
      <c r="FQ9" s="16" t="s">
        <v>1648</v>
      </c>
      <c r="FR9" s="16" t="s">
        <v>1649</v>
      </c>
      <c r="FS9" s="16" t="s">
        <v>1650</v>
      </c>
      <c r="FT9" s="16" t="s">
        <v>1651</v>
      </c>
      <c r="FU9" s="16" t="s">
        <v>1652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20"/>
  <sheetViews>
    <sheetView topLeftCell="A1203" workbookViewId="0"/>
  </sheetViews>
  <sheetFormatPr defaultRowHeight="14.4" x14ac:dyDescent="0.3"/>
  <sheetData>
    <row r="1" spans="1:4" x14ac:dyDescent="0.3">
      <c r="A1" t="s">
        <v>98</v>
      </c>
      <c r="B1" t="s">
        <v>1653</v>
      </c>
      <c r="C1" t="s">
        <v>1654</v>
      </c>
      <c r="D1" t="s">
        <v>1655</v>
      </c>
    </row>
    <row r="2" spans="1:4" x14ac:dyDescent="0.3">
      <c r="A2" t="s">
        <v>105</v>
      </c>
      <c r="B2" t="s">
        <v>100</v>
      </c>
      <c r="C2" t="s">
        <v>64</v>
      </c>
      <c r="D2" t="s">
        <v>306</v>
      </c>
    </row>
    <row r="3" spans="1:4" x14ac:dyDescent="0.3">
      <c r="A3" t="s">
        <v>105</v>
      </c>
      <c r="B3" t="s">
        <v>100</v>
      </c>
      <c r="C3" t="s">
        <v>64</v>
      </c>
      <c r="D3" t="s">
        <v>1656</v>
      </c>
    </row>
    <row r="4" spans="1:4" x14ac:dyDescent="0.3">
      <c r="A4" t="s">
        <v>105</v>
      </c>
      <c r="B4" t="s">
        <v>100</v>
      </c>
      <c r="C4" t="s">
        <v>64</v>
      </c>
      <c r="D4" t="s">
        <v>644</v>
      </c>
    </row>
    <row r="5" spans="1:4" x14ac:dyDescent="0.3">
      <c r="A5" t="s">
        <v>105</v>
      </c>
      <c r="B5" t="s">
        <v>100</v>
      </c>
      <c r="C5" t="s">
        <v>64</v>
      </c>
      <c r="D5" t="s">
        <v>1657</v>
      </c>
    </row>
    <row r="6" spans="1:4" x14ac:dyDescent="0.3">
      <c r="A6" t="s">
        <v>105</v>
      </c>
      <c r="B6" t="s">
        <v>100</v>
      </c>
      <c r="C6" t="s">
        <v>64</v>
      </c>
      <c r="D6" t="s">
        <v>973</v>
      </c>
    </row>
    <row r="7" spans="1:4" x14ac:dyDescent="0.3">
      <c r="A7" t="s">
        <v>105</v>
      </c>
      <c r="B7" t="s">
        <v>100</v>
      </c>
      <c r="C7" t="s">
        <v>64</v>
      </c>
      <c r="D7" t="s">
        <v>1658</v>
      </c>
    </row>
    <row r="8" spans="1:4" x14ac:dyDescent="0.3">
      <c r="A8" t="s">
        <v>105</v>
      </c>
      <c r="B8" t="s">
        <v>100</v>
      </c>
      <c r="C8" t="s">
        <v>64</v>
      </c>
      <c r="D8" t="s">
        <v>1313</v>
      </c>
    </row>
    <row r="9" spans="1:4" x14ac:dyDescent="0.3">
      <c r="A9" t="s">
        <v>105</v>
      </c>
      <c r="B9" t="s">
        <v>100</v>
      </c>
      <c r="C9" t="s">
        <v>64</v>
      </c>
      <c r="D9" t="s">
        <v>1485</v>
      </c>
    </row>
    <row r="10" spans="1:4" x14ac:dyDescent="0.3">
      <c r="A10" t="s">
        <v>105</v>
      </c>
      <c r="B10" t="s">
        <v>100</v>
      </c>
      <c r="C10" t="s">
        <v>73</v>
      </c>
      <c r="D10" t="s">
        <v>311</v>
      </c>
    </row>
    <row r="11" spans="1:4" x14ac:dyDescent="0.3">
      <c r="A11" t="s">
        <v>105</v>
      </c>
      <c r="B11" t="s">
        <v>100</v>
      </c>
      <c r="C11" t="s">
        <v>73</v>
      </c>
      <c r="D11" t="s">
        <v>1659</v>
      </c>
    </row>
    <row r="12" spans="1:4" x14ac:dyDescent="0.3">
      <c r="A12" t="s">
        <v>105</v>
      </c>
      <c r="B12" t="s">
        <v>100</v>
      </c>
      <c r="C12" t="s">
        <v>73</v>
      </c>
      <c r="D12" t="s">
        <v>650</v>
      </c>
    </row>
    <row r="13" spans="1:4" x14ac:dyDescent="0.3">
      <c r="A13" t="s">
        <v>105</v>
      </c>
      <c r="B13" t="s">
        <v>100</v>
      </c>
      <c r="C13" t="s">
        <v>73</v>
      </c>
      <c r="D13" t="s">
        <v>1660</v>
      </c>
    </row>
    <row r="14" spans="1:4" x14ac:dyDescent="0.3">
      <c r="A14" t="s">
        <v>105</v>
      </c>
      <c r="B14" t="s">
        <v>100</v>
      </c>
      <c r="C14" t="s">
        <v>73</v>
      </c>
      <c r="D14" t="s">
        <v>1661</v>
      </c>
    </row>
    <row r="15" spans="1:4" x14ac:dyDescent="0.3">
      <c r="A15" t="s">
        <v>105</v>
      </c>
      <c r="B15" t="s">
        <v>100</v>
      </c>
      <c r="C15" t="s">
        <v>73</v>
      </c>
      <c r="D15" t="s">
        <v>1662</v>
      </c>
    </row>
    <row r="16" spans="1:4" x14ac:dyDescent="0.3">
      <c r="A16" t="s">
        <v>105</v>
      </c>
      <c r="B16" t="s">
        <v>100</v>
      </c>
      <c r="C16" t="s">
        <v>73</v>
      </c>
      <c r="D16" t="s">
        <v>1663</v>
      </c>
    </row>
    <row r="17" spans="1:4" x14ac:dyDescent="0.3">
      <c r="A17" t="s">
        <v>105</v>
      </c>
      <c r="B17" t="s">
        <v>100</v>
      </c>
      <c r="C17" t="s">
        <v>73</v>
      </c>
      <c r="D17" t="s">
        <v>1664</v>
      </c>
    </row>
    <row r="18" spans="1:4" x14ac:dyDescent="0.3">
      <c r="A18" t="s">
        <v>105</v>
      </c>
      <c r="B18" t="s">
        <v>100</v>
      </c>
      <c r="C18" t="s">
        <v>61</v>
      </c>
      <c r="D18" t="s">
        <v>1665</v>
      </c>
    </row>
    <row r="19" spans="1:4" x14ac:dyDescent="0.3">
      <c r="A19" t="s">
        <v>105</v>
      </c>
      <c r="B19" t="s">
        <v>100</v>
      </c>
      <c r="C19" t="s">
        <v>61</v>
      </c>
      <c r="D19" t="s">
        <v>1666</v>
      </c>
    </row>
    <row r="20" spans="1:4" x14ac:dyDescent="0.3">
      <c r="A20" t="s">
        <v>105</v>
      </c>
      <c r="B20" t="s">
        <v>100</v>
      </c>
      <c r="C20" t="s">
        <v>61</v>
      </c>
      <c r="D20" t="s">
        <v>1667</v>
      </c>
    </row>
    <row r="21" spans="1:4" x14ac:dyDescent="0.3">
      <c r="A21" t="s">
        <v>105</v>
      </c>
      <c r="B21" t="s">
        <v>100</v>
      </c>
      <c r="C21" t="s">
        <v>61</v>
      </c>
      <c r="D21" t="s">
        <v>1668</v>
      </c>
    </row>
    <row r="22" spans="1:4" x14ac:dyDescent="0.3">
      <c r="A22" t="s">
        <v>105</v>
      </c>
      <c r="B22" t="s">
        <v>100</v>
      </c>
      <c r="C22" t="s">
        <v>61</v>
      </c>
      <c r="D22" t="s">
        <v>1669</v>
      </c>
    </row>
    <row r="23" spans="1:4" x14ac:dyDescent="0.3">
      <c r="A23" t="s">
        <v>105</v>
      </c>
      <c r="B23" t="s">
        <v>100</v>
      </c>
      <c r="C23" t="s">
        <v>61</v>
      </c>
      <c r="D23" t="s">
        <v>1670</v>
      </c>
    </row>
    <row r="24" spans="1:4" x14ac:dyDescent="0.3">
      <c r="A24" t="s">
        <v>105</v>
      </c>
      <c r="B24" t="s">
        <v>100</v>
      </c>
      <c r="C24" t="s">
        <v>61</v>
      </c>
      <c r="D24" t="s">
        <v>1671</v>
      </c>
    </row>
    <row r="25" spans="1:4" x14ac:dyDescent="0.3">
      <c r="A25" t="s">
        <v>105</v>
      </c>
      <c r="B25" t="s">
        <v>100</v>
      </c>
      <c r="C25" t="s">
        <v>61</v>
      </c>
      <c r="D25" t="s">
        <v>1672</v>
      </c>
    </row>
    <row r="26" spans="1:4" x14ac:dyDescent="0.3">
      <c r="A26" t="s">
        <v>105</v>
      </c>
      <c r="B26" t="s">
        <v>100</v>
      </c>
      <c r="C26" t="s">
        <v>67</v>
      </c>
      <c r="D26" t="s">
        <v>1673</v>
      </c>
    </row>
    <row r="27" spans="1:4" x14ac:dyDescent="0.3">
      <c r="A27" t="s">
        <v>105</v>
      </c>
      <c r="B27" t="s">
        <v>100</v>
      </c>
      <c r="C27" t="s">
        <v>67</v>
      </c>
      <c r="D27" t="s">
        <v>1674</v>
      </c>
    </row>
    <row r="28" spans="1:4" x14ac:dyDescent="0.3">
      <c r="A28" t="s">
        <v>105</v>
      </c>
      <c r="B28" t="s">
        <v>100</v>
      </c>
      <c r="C28" t="s">
        <v>67</v>
      </c>
      <c r="D28" t="s">
        <v>1675</v>
      </c>
    </row>
    <row r="29" spans="1:4" x14ac:dyDescent="0.3">
      <c r="A29" t="s">
        <v>105</v>
      </c>
      <c r="B29" t="s">
        <v>100</v>
      </c>
      <c r="C29" t="s">
        <v>67</v>
      </c>
      <c r="D29" t="s">
        <v>1676</v>
      </c>
    </row>
    <row r="30" spans="1:4" x14ac:dyDescent="0.3">
      <c r="A30" t="s">
        <v>105</v>
      </c>
      <c r="B30" t="s">
        <v>100</v>
      </c>
      <c r="C30" t="s">
        <v>67</v>
      </c>
      <c r="D30" t="s">
        <v>1677</v>
      </c>
    </row>
    <row r="31" spans="1:4" x14ac:dyDescent="0.3">
      <c r="A31" t="s">
        <v>105</v>
      </c>
      <c r="B31" t="s">
        <v>100</v>
      </c>
      <c r="C31" t="s">
        <v>67</v>
      </c>
      <c r="D31" t="s">
        <v>1678</v>
      </c>
    </row>
    <row r="32" spans="1:4" x14ac:dyDescent="0.3">
      <c r="A32" t="s">
        <v>105</v>
      </c>
      <c r="B32" t="s">
        <v>100</v>
      </c>
      <c r="C32" t="s">
        <v>67</v>
      </c>
      <c r="D32" t="s">
        <v>1679</v>
      </c>
    </row>
    <row r="33" spans="1:4" x14ac:dyDescent="0.3">
      <c r="A33" t="s">
        <v>105</v>
      </c>
      <c r="B33" t="s">
        <v>100</v>
      </c>
      <c r="C33" t="s">
        <v>67</v>
      </c>
      <c r="D33" t="s">
        <v>1680</v>
      </c>
    </row>
    <row r="34" spans="1:4" x14ac:dyDescent="0.3">
      <c r="A34" t="s">
        <v>105</v>
      </c>
      <c r="B34" t="s">
        <v>99</v>
      </c>
      <c r="C34" t="s">
        <v>64</v>
      </c>
      <c r="D34" t="s">
        <v>305</v>
      </c>
    </row>
    <row r="35" spans="1:4" x14ac:dyDescent="0.3">
      <c r="A35" t="s">
        <v>105</v>
      </c>
      <c r="B35" t="s">
        <v>99</v>
      </c>
      <c r="C35" t="s">
        <v>64</v>
      </c>
      <c r="D35" t="s">
        <v>470</v>
      </c>
    </row>
    <row r="36" spans="1:4" x14ac:dyDescent="0.3">
      <c r="A36" t="s">
        <v>105</v>
      </c>
      <c r="B36" t="s">
        <v>99</v>
      </c>
      <c r="C36" t="s">
        <v>64</v>
      </c>
      <c r="D36" t="s">
        <v>643</v>
      </c>
    </row>
    <row r="37" spans="1:4" x14ac:dyDescent="0.3">
      <c r="A37" t="s">
        <v>105</v>
      </c>
      <c r="B37" t="s">
        <v>99</v>
      </c>
      <c r="C37" t="s">
        <v>64</v>
      </c>
      <c r="D37" t="s">
        <v>811</v>
      </c>
    </row>
    <row r="38" spans="1:4" x14ac:dyDescent="0.3">
      <c r="A38" t="s">
        <v>105</v>
      </c>
      <c r="B38" t="s">
        <v>99</v>
      </c>
      <c r="C38" t="s">
        <v>64</v>
      </c>
      <c r="D38" t="s">
        <v>972</v>
      </c>
    </row>
    <row r="39" spans="1:4" x14ac:dyDescent="0.3">
      <c r="A39" t="s">
        <v>105</v>
      </c>
      <c r="B39" t="s">
        <v>99</v>
      </c>
      <c r="C39" t="s">
        <v>64</v>
      </c>
      <c r="D39" t="s">
        <v>1681</v>
      </c>
    </row>
    <row r="40" spans="1:4" x14ac:dyDescent="0.3">
      <c r="A40" t="s">
        <v>105</v>
      </c>
      <c r="B40" t="s">
        <v>99</v>
      </c>
      <c r="C40" t="s">
        <v>64</v>
      </c>
      <c r="D40" t="s">
        <v>1312</v>
      </c>
    </row>
    <row r="41" spans="1:4" x14ac:dyDescent="0.3">
      <c r="A41" t="s">
        <v>105</v>
      </c>
      <c r="B41" t="s">
        <v>99</v>
      </c>
      <c r="C41" t="s">
        <v>64</v>
      </c>
      <c r="D41" t="s">
        <v>1682</v>
      </c>
    </row>
    <row r="42" spans="1:4" x14ac:dyDescent="0.3">
      <c r="A42" t="s">
        <v>105</v>
      </c>
      <c r="B42" t="s">
        <v>99</v>
      </c>
      <c r="C42" t="s">
        <v>73</v>
      </c>
      <c r="D42" t="s">
        <v>310</v>
      </c>
    </row>
    <row r="43" spans="1:4" x14ac:dyDescent="0.3">
      <c r="A43" t="s">
        <v>105</v>
      </c>
      <c r="B43" t="s">
        <v>99</v>
      </c>
      <c r="C43" t="s">
        <v>73</v>
      </c>
      <c r="D43" t="s">
        <v>1683</v>
      </c>
    </row>
    <row r="44" spans="1:4" x14ac:dyDescent="0.3">
      <c r="A44" t="s">
        <v>105</v>
      </c>
      <c r="B44" t="s">
        <v>99</v>
      </c>
      <c r="C44" t="s">
        <v>73</v>
      </c>
      <c r="D44" t="s">
        <v>1684</v>
      </c>
    </row>
    <row r="45" spans="1:4" x14ac:dyDescent="0.3">
      <c r="A45" t="s">
        <v>105</v>
      </c>
      <c r="B45" t="s">
        <v>99</v>
      </c>
      <c r="C45" t="s">
        <v>73</v>
      </c>
      <c r="D45" t="s">
        <v>1685</v>
      </c>
    </row>
    <row r="46" spans="1:4" x14ac:dyDescent="0.3">
      <c r="A46" t="s">
        <v>105</v>
      </c>
      <c r="B46" t="s">
        <v>99</v>
      </c>
      <c r="C46" t="s">
        <v>73</v>
      </c>
      <c r="D46" t="s">
        <v>1686</v>
      </c>
    </row>
    <row r="47" spans="1:4" x14ac:dyDescent="0.3">
      <c r="A47" t="s">
        <v>105</v>
      </c>
      <c r="B47" t="s">
        <v>99</v>
      </c>
      <c r="C47" t="s">
        <v>73</v>
      </c>
      <c r="D47" t="s">
        <v>1687</v>
      </c>
    </row>
    <row r="48" spans="1:4" x14ac:dyDescent="0.3">
      <c r="A48" t="s">
        <v>105</v>
      </c>
      <c r="B48" t="s">
        <v>99</v>
      </c>
      <c r="C48" t="s">
        <v>73</v>
      </c>
      <c r="D48" t="s">
        <v>1318</v>
      </c>
    </row>
    <row r="49" spans="1:4" x14ac:dyDescent="0.3">
      <c r="A49" t="s">
        <v>105</v>
      </c>
      <c r="B49" t="s">
        <v>99</v>
      </c>
      <c r="C49" t="s">
        <v>73</v>
      </c>
      <c r="D49" t="s">
        <v>1688</v>
      </c>
    </row>
    <row r="50" spans="1:4" x14ac:dyDescent="0.3">
      <c r="A50" t="s">
        <v>105</v>
      </c>
      <c r="B50" t="s">
        <v>99</v>
      </c>
      <c r="C50" t="s">
        <v>61</v>
      </c>
      <c r="D50" t="s">
        <v>1689</v>
      </c>
    </row>
    <row r="51" spans="1:4" x14ac:dyDescent="0.3">
      <c r="A51" t="s">
        <v>105</v>
      </c>
      <c r="B51" t="s">
        <v>99</v>
      </c>
      <c r="C51" t="s">
        <v>61</v>
      </c>
      <c r="D51" t="s">
        <v>1690</v>
      </c>
    </row>
    <row r="52" spans="1:4" x14ac:dyDescent="0.3">
      <c r="A52" t="s">
        <v>105</v>
      </c>
      <c r="B52" t="s">
        <v>99</v>
      </c>
      <c r="C52" t="s">
        <v>61</v>
      </c>
      <c r="D52" t="s">
        <v>1691</v>
      </c>
    </row>
    <row r="53" spans="1:4" x14ac:dyDescent="0.3">
      <c r="A53" t="s">
        <v>105</v>
      </c>
      <c r="B53" t="s">
        <v>99</v>
      </c>
      <c r="C53" t="s">
        <v>61</v>
      </c>
      <c r="D53" t="s">
        <v>1692</v>
      </c>
    </row>
    <row r="54" spans="1:4" x14ac:dyDescent="0.3">
      <c r="A54" t="s">
        <v>105</v>
      </c>
      <c r="B54" t="s">
        <v>99</v>
      </c>
      <c r="C54" t="s">
        <v>61</v>
      </c>
      <c r="D54" t="s">
        <v>1693</v>
      </c>
    </row>
    <row r="55" spans="1:4" x14ac:dyDescent="0.3">
      <c r="A55" t="s">
        <v>105</v>
      </c>
      <c r="B55" t="s">
        <v>99</v>
      </c>
      <c r="C55" t="s">
        <v>61</v>
      </c>
      <c r="D55" t="s">
        <v>1694</v>
      </c>
    </row>
    <row r="56" spans="1:4" x14ac:dyDescent="0.3">
      <c r="A56" t="s">
        <v>105</v>
      </c>
      <c r="B56" t="s">
        <v>99</v>
      </c>
      <c r="C56" t="s">
        <v>61</v>
      </c>
      <c r="D56" t="s">
        <v>1695</v>
      </c>
    </row>
    <row r="57" spans="1:4" x14ac:dyDescent="0.3">
      <c r="A57" t="s">
        <v>105</v>
      </c>
      <c r="B57" t="s">
        <v>99</v>
      </c>
      <c r="C57" t="s">
        <v>61</v>
      </c>
      <c r="D57" t="s">
        <v>1696</v>
      </c>
    </row>
    <row r="58" spans="1:4" x14ac:dyDescent="0.3">
      <c r="A58" t="s">
        <v>105</v>
      </c>
      <c r="B58" t="s">
        <v>99</v>
      </c>
      <c r="C58" t="s">
        <v>67</v>
      </c>
      <c r="D58" t="s">
        <v>1697</v>
      </c>
    </row>
    <row r="59" spans="1:4" x14ac:dyDescent="0.3">
      <c r="A59" t="s">
        <v>105</v>
      </c>
      <c r="B59" t="s">
        <v>99</v>
      </c>
      <c r="C59" t="s">
        <v>67</v>
      </c>
      <c r="D59" t="s">
        <v>1698</v>
      </c>
    </row>
    <row r="60" spans="1:4" x14ac:dyDescent="0.3">
      <c r="A60" t="s">
        <v>105</v>
      </c>
      <c r="B60" t="s">
        <v>99</v>
      </c>
      <c r="C60" t="s">
        <v>67</v>
      </c>
      <c r="D60" t="s">
        <v>1699</v>
      </c>
    </row>
    <row r="61" spans="1:4" x14ac:dyDescent="0.3">
      <c r="A61" t="s">
        <v>105</v>
      </c>
      <c r="B61" t="s">
        <v>99</v>
      </c>
      <c r="C61" t="s">
        <v>67</v>
      </c>
      <c r="D61" t="s">
        <v>1700</v>
      </c>
    </row>
    <row r="62" spans="1:4" x14ac:dyDescent="0.3">
      <c r="A62" t="s">
        <v>105</v>
      </c>
      <c r="B62" t="s">
        <v>99</v>
      </c>
      <c r="C62" t="s">
        <v>67</v>
      </c>
      <c r="D62" t="s">
        <v>1701</v>
      </c>
    </row>
    <row r="63" spans="1:4" x14ac:dyDescent="0.3">
      <c r="A63" t="s">
        <v>105</v>
      </c>
      <c r="B63" t="s">
        <v>99</v>
      </c>
      <c r="C63" t="s">
        <v>67</v>
      </c>
      <c r="D63" t="s">
        <v>1702</v>
      </c>
    </row>
    <row r="64" spans="1:4" x14ac:dyDescent="0.3">
      <c r="A64" t="s">
        <v>105</v>
      </c>
      <c r="B64" t="s">
        <v>99</v>
      </c>
      <c r="C64" t="s">
        <v>67</v>
      </c>
      <c r="D64" t="s">
        <v>1703</v>
      </c>
    </row>
    <row r="65" spans="1:4" x14ac:dyDescent="0.3">
      <c r="A65" t="s">
        <v>105</v>
      </c>
      <c r="B65" t="s">
        <v>99</v>
      </c>
      <c r="C65" t="s">
        <v>67</v>
      </c>
      <c r="D65" t="s">
        <v>1704</v>
      </c>
    </row>
    <row r="66" spans="1:4" x14ac:dyDescent="0.3">
      <c r="A66" t="s">
        <v>105</v>
      </c>
      <c r="B66" t="s">
        <v>60</v>
      </c>
      <c r="C66" t="s">
        <v>64</v>
      </c>
      <c r="D66" t="s">
        <v>1705</v>
      </c>
    </row>
    <row r="67" spans="1:4" x14ac:dyDescent="0.3">
      <c r="A67" t="s">
        <v>105</v>
      </c>
      <c r="B67" t="s">
        <v>60</v>
      </c>
      <c r="C67" t="s">
        <v>64</v>
      </c>
      <c r="D67" t="s">
        <v>1706</v>
      </c>
    </row>
    <row r="68" spans="1:4" x14ac:dyDescent="0.3">
      <c r="A68" t="s">
        <v>105</v>
      </c>
      <c r="B68" t="s">
        <v>60</v>
      </c>
      <c r="C68" t="s">
        <v>64</v>
      </c>
      <c r="D68" t="s">
        <v>1707</v>
      </c>
    </row>
    <row r="69" spans="1:4" x14ac:dyDescent="0.3">
      <c r="A69" t="s">
        <v>105</v>
      </c>
      <c r="B69" t="s">
        <v>60</v>
      </c>
      <c r="C69" t="s">
        <v>64</v>
      </c>
      <c r="D69" t="s">
        <v>1708</v>
      </c>
    </row>
    <row r="70" spans="1:4" x14ac:dyDescent="0.3">
      <c r="A70" t="s">
        <v>105</v>
      </c>
      <c r="B70" t="s">
        <v>60</v>
      </c>
      <c r="C70" t="s">
        <v>64</v>
      </c>
      <c r="D70" t="s">
        <v>1709</v>
      </c>
    </row>
    <row r="71" spans="1:4" x14ac:dyDescent="0.3">
      <c r="A71" t="s">
        <v>105</v>
      </c>
      <c r="B71" t="s">
        <v>60</v>
      </c>
      <c r="C71" t="s">
        <v>64</v>
      </c>
      <c r="D71" t="s">
        <v>1710</v>
      </c>
    </row>
    <row r="72" spans="1:4" x14ac:dyDescent="0.3">
      <c r="A72" t="s">
        <v>105</v>
      </c>
      <c r="B72" t="s">
        <v>60</v>
      </c>
      <c r="C72" t="s">
        <v>64</v>
      </c>
      <c r="D72" t="s">
        <v>1711</v>
      </c>
    </row>
    <row r="73" spans="1:4" x14ac:dyDescent="0.3">
      <c r="A73" t="s">
        <v>105</v>
      </c>
      <c r="B73" t="s">
        <v>60</v>
      </c>
      <c r="C73" t="s">
        <v>64</v>
      </c>
      <c r="D73" t="s">
        <v>1712</v>
      </c>
    </row>
    <row r="74" spans="1:4" x14ac:dyDescent="0.3">
      <c r="A74" t="s">
        <v>105</v>
      </c>
      <c r="B74" t="s">
        <v>60</v>
      </c>
      <c r="C74" t="s">
        <v>73</v>
      </c>
      <c r="D74" t="s">
        <v>1713</v>
      </c>
    </row>
    <row r="75" spans="1:4" x14ac:dyDescent="0.3">
      <c r="A75" t="s">
        <v>105</v>
      </c>
      <c r="B75" t="s">
        <v>60</v>
      </c>
      <c r="C75" t="s">
        <v>73</v>
      </c>
      <c r="D75" t="s">
        <v>1714</v>
      </c>
    </row>
    <row r="76" spans="1:4" x14ac:dyDescent="0.3">
      <c r="A76" t="s">
        <v>105</v>
      </c>
      <c r="B76" t="s">
        <v>60</v>
      </c>
      <c r="C76" t="s">
        <v>73</v>
      </c>
      <c r="D76" t="s">
        <v>1715</v>
      </c>
    </row>
    <row r="77" spans="1:4" x14ac:dyDescent="0.3">
      <c r="A77" t="s">
        <v>105</v>
      </c>
      <c r="B77" t="s">
        <v>60</v>
      </c>
      <c r="C77" t="s">
        <v>73</v>
      </c>
      <c r="D77" t="s">
        <v>1716</v>
      </c>
    </row>
    <row r="78" spans="1:4" x14ac:dyDescent="0.3">
      <c r="A78" t="s">
        <v>105</v>
      </c>
      <c r="B78" t="s">
        <v>60</v>
      </c>
      <c r="C78" t="s">
        <v>73</v>
      </c>
      <c r="D78" t="s">
        <v>1717</v>
      </c>
    </row>
    <row r="79" spans="1:4" x14ac:dyDescent="0.3">
      <c r="A79" t="s">
        <v>105</v>
      </c>
      <c r="B79" t="s">
        <v>60</v>
      </c>
      <c r="C79" t="s">
        <v>73</v>
      </c>
      <c r="D79" t="s">
        <v>1718</v>
      </c>
    </row>
    <row r="80" spans="1:4" x14ac:dyDescent="0.3">
      <c r="A80" t="s">
        <v>105</v>
      </c>
      <c r="B80" t="s">
        <v>60</v>
      </c>
      <c r="C80" t="s">
        <v>73</v>
      </c>
      <c r="D80" t="s">
        <v>1719</v>
      </c>
    </row>
    <row r="81" spans="1:4" x14ac:dyDescent="0.3">
      <c r="A81" t="s">
        <v>105</v>
      </c>
      <c r="B81" t="s">
        <v>60</v>
      </c>
      <c r="C81" t="s">
        <v>73</v>
      </c>
      <c r="D81" t="s">
        <v>1720</v>
      </c>
    </row>
    <row r="82" spans="1:4" x14ac:dyDescent="0.3">
      <c r="A82" t="s">
        <v>105</v>
      </c>
      <c r="B82" t="s">
        <v>60</v>
      </c>
      <c r="C82" t="s">
        <v>61</v>
      </c>
      <c r="D82" t="s">
        <v>1721</v>
      </c>
    </row>
    <row r="83" spans="1:4" x14ac:dyDescent="0.3">
      <c r="A83" t="s">
        <v>105</v>
      </c>
      <c r="B83" t="s">
        <v>60</v>
      </c>
      <c r="C83" t="s">
        <v>61</v>
      </c>
      <c r="D83" t="s">
        <v>1722</v>
      </c>
    </row>
    <row r="84" spans="1:4" x14ac:dyDescent="0.3">
      <c r="A84" t="s">
        <v>105</v>
      </c>
      <c r="B84" t="s">
        <v>60</v>
      </c>
      <c r="C84" t="s">
        <v>61</v>
      </c>
      <c r="D84" t="s">
        <v>1723</v>
      </c>
    </row>
    <row r="85" spans="1:4" x14ac:dyDescent="0.3">
      <c r="A85" t="s">
        <v>105</v>
      </c>
      <c r="B85" t="s">
        <v>60</v>
      </c>
      <c r="C85" t="s">
        <v>61</v>
      </c>
      <c r="D85" t="s">
        <v>1724</v>
      </c>
    </row>
    <row r="86" spans="1:4" x14ac:dyDescent="0.3">
      <c r="A86" t="s">
        <v>105</v>
      </c>
      <c r="B86" t="s">
        <v>60</v>
      </c>
      <c r="C86" t="s">
        <v>61</v>
      </c>
      <c r="D86" t="s">
        <v>1725</v>
      </c>
    </row>
    <row r="87" spans="1:4" x14ac:dyDescent="0.3">
      <c r="A87" t="s">
        <v>105</v>
      </c>
      <c r="B87" t="s">
        <v>60</v>
      </c>
      <c r="C87" t="s">
        <v>61</v>
      </c>
      <c r="D87" t="s">
        <v>1726</v>
      </c>
    </row>
    <row r="88" spans="1:4" x14ac:dyDescent="0.3">
      <c r="A88" t="s">
        <v>105</v>
      </c>
      <c r="B88" t="s">
        <v>60</v>
      </c>
      <c r="C88" t="s">
        <v>61</v>
      </c>
      <c r="D88" t="s">
        <v>1727</v>
      </c>
    </row>
    <row r="89" spans="1:4" x14ac:dyDescent="0.3">
      <c r="A89" t="s">
        <v>105</v>
      </c>
      <c r="B89" t="s">
        <v>60</v>
      </c>
      <c r="C89" t="s">
        <v>61</v>
      </c>
      <c r="D89" t="s">
        <v>1728</v>
      </c>
    </row>
    <row r="90" spans="1:4" x14ac:dyDescent="0.3">
      <c r="A90" t="s">
        <v>105</v>
      </c>
      <c r="B90" t="s">
        <v>60</v>
      </c>
      <c r="C90" t="s">
        <v>67</v>
      </c>
      <c r="D90" t="s">
        <v>1729</v>
      </c>
    </row>
    <row r="91" spans="1:4" x14ac:dyDescent="0.3">
      <c r="A91" t="s">
        <v>105</v>
      </c>
      <c r="B91" t="s">
        <v>60</v>
      </c>
      <c r="C91" t="s">
        <v>67</v>
      </c>
      <c r="D91" t="s">
        <v>1730</v>
      </c>
    </row>
    <row r="92" spans="1:4" x14ac:dyDescent="0.3">
      <c r="A92" t="s">
        <v>105</v>
      </c>
      <c r="B92" t="s">
        <v>60</v>
      </c>
      <c r="C92" t="s">
        <v>67</v>
      </c>
      <c r="D92" t="s">
        <v>1731</v>
      </c>
    </row>
    <row r="93" spans="1:4" x14ac:dyDescent="0.3">
      <c r="A93" t="s">
        <v>105</v>
      </c>
      <c r="B93" t="s">
        <v>60</v>
      </c>
      <c r="C93" t="s">
        <v>67</v>
      </c>
      <c r="D93" t="s">
        <v>1732</v>
      </c>
    </row>
    <row r="94" spans="1:4" x14ac:dyDescent="0.3">
      <c r="A94" t="s">
        <v>105</v>
      </c>
      <c r="B94" t="s">
        <v>60</v>
      </c>
      <c r="C94" t="s">
        <v>67</v>
      </c>
      <c r="D94" t="s">
        <v>1733</v>
      </c>
    </row>
    <row r="95" spans="1:4" x14ac:dyDescent="0.3">
      <c r="A95" t="s">
        <v>105</v>
      </c>
      <c r="B95" t="s">
        <v>60</v>
      </c>
      <c r="C95" t="s">
        <v>67</v>
      </c>
      <c r="D95" t="s">
        <v>1734</v>
      </c>
    </row>
    <row r="96" spans="1:4" x14ac:dyDescent="0.3">
      <c r="A96" t="s">
        <v>105</v>
      </c>
      <c r="B96" t="s">
        <v>60</v>
      </c>
      <c r="C96" t="s">
        <v>67</v>
      </c>
      <c r="D96" t="s">
        <v>1735</v>
      </c>
    </row>
    <row r="97" spans="1:4" x14ac:dyDescent="0.3">
      <c r="A97" t="s">
        <v>105</v>
      </c>
      <c r="B97" t="s">
        <v>60</v>
      </c>
      <c r="C97" t="s">
        <v>67</v>
      </c>
      <c r="D97" t="s">
        <v>1736</v>
      </c>
    </row>
    <row r="98" spans="1:4" x14ac:dyDescent="0.3">
      <c r="A98" t="s">
        <v>105</v>
      </c>
      <c r="B98" t="s">
        <v>469</v>
      </c>
      <c r="C98" t="s">
        <v>64</v>
      </c>
      <c r="D98" t="s">
        <v>1737</v>
      </c>
    </row>
    <row r="99" spans="1:4" x14ac:dyDescent="0.3">
      <c r="A99" t="s">
        <v>105</v>
      </c>
      <c r="B99" t="s">
        <v>469</v>
      </c>
      <c r="C99" t="s">
        <v>64</v>
      </c>
      <c r="D99" t="s">
        <v>1738</v>
      </c>
    </row>
    <row r="100" spans="1:4" x14ac:dyDescent="0.3">
      <c r="A100" t="s">
        <v>105</v>
      </c>
      <c r="B100" t="s">
        <v>469</v>
      </c>
      <c r="C100" t="s">
        <v>64</v>
      </c>
      <c r="D100" t="s">
        <v>1739</v>
      </c>
    </row>
    <row r="101" spans="1:4" x14ac:dyDescent="0.3">
      <c r="A101" t="s">
        <v>105</v>
      </c>
      <c r="B101" t="s">
        <v>469</v>
      </c>
      <c r="C101" t="s">
        <v>64</v>
      </c>
      <c r="D101" t="s">
        <v>1740</v>
      </c>
    </row>
    <row r="102" spans="1:4" x14ac:dyDescent="0.3">
      <c r="A102" t="s">
        <v>105</v>
      </c>
      <c r="B102" t="s">
        <v>469</v>
      </c>
      <c r="C102" t="s">
        <v>64</v>
      </c>
      <c r="D102" t="s">
        <v>1741</v>
      </c>
    </row>
    <row r="103" spans="1:4" x14ac:dyDescent="0.3">
      <c r="A103" t="s">
        <v>105</v>
      </c>
      <c r="B103" t="s">
        <v>469</v>
      </c>
      <c r="C103" t="s">
        <v>64</v>
      </c>
      <c r="D103" t="s">
        <v>1742</v>
      </c>
    </row>
    <row r="104" spans="1:4" x14ac:dyDescent="0.3">
      <c r="A104" t="s">
        <v>105</v>
      </c>
      <c r="B104" t="s">
        <v>469</v>
      </c>
      <c r="C104" t="s">
        <v>64</v>
      </c>
      <c r="D104" t="s">
        <v>1743</v>
      </c>
    </row>
    <row r="105" spans="1:4" x14ac:dyDescent="0.3">
      <c r="A105" t="s">
        <v>105</v>
      </c>
      <c r="B105" t="s">
        <v>469</v>
      </c>
      <c r="C105" t="s">
        <v>64</v>
      </c>
      <c r="D105" t="s">
        <v>1744</v>
      </c>
    </row>
    <row r="106" spans="1:4" x14ac:dyDescent="0.3">
      <c r="A106" t="s">
        <v>105</v>
      </c>
      <c r="B106" t="s">
        <v>469</v>
      </c>
      <c r="C106" t="s">
        <v>73</v>
      </c>
      <c r="D106" t="s">
        <v>1745</v>
      </c>
    </row>
    <row r="107" spans="1:4" x14ac:dyDescent="0.3">
      <c r="A107" t="s">
        <v>105</v>
      </c>
      <c r="B107" t="s">
        <v>469</v>
      </c>
      <c r="C107" t="s">
        <v>73</v>
      </c>
      <c r="D107" t="s">
        <v>1746</v>
      </c>
    </row>
    <row r="108" spans="1:4" x14ac:dyDescent="0.3">
      <c r="A108" t="s">
        <v>105</v>
      </c>
      <c r="B108" t="s">
        <v>469</v>
      </c>
      <c r="C108" t="s">
        <v>73</v>
      </c>
      <c r="D108" t="s">
        <v>1747</v>
      </c>
    </row>
    <row r="109" spans="1:4" x14ac:dyDescent="0.3">
      <c r="A109" t="s">
        <v>105</v>
      </c>
      <c r="B109" t="s">
        <v>469</v>
      </c>
      <c r="C109" t="s">
        <v>73</v>
      </c>
      <c r="D109" t="s">
        <v>1748</v>
      </c>
    </row>
    <row r="110" spans="1:4" x14ac:dyDescent="0.3">
      <c r="A110" t="s">
        <v>105</v>
      </c>
      <c r="B110" t="s">
        <v>469</v>
      </c>
      <c r="C110" t="s">
        <v>73</v>
      </c>
      <c r="D110" t="s">
        <v>1749</v>
      </c>
    </row>
    <row r="111" spans="1:4" x14ac:dyDescent="0.3">
      <c r="A111" t="s">
        <v>105</v>
      </c>
      <c r="B111" t="s">
        <v>469</v>
      </c>
      <c r="C111" t="s">
        <v>73</v>
      </c>
      <c r="D111" t="s">
        <v>1750</v>
      </c>
    </row>
    <row r="112" spans="1:4" x14ac:dyDescent="0.3">
      <c r="A112" t="s">
        <v>105</v>
      </c>
      <c r="B112" t="s">
        <v>469</v>
      </c>
      <c r="C112" t="s">
        <v>73</v>
      </c>
      <c r="D112" t="s">
        <v>1751</v>
      </c>
    </row>
    <row r="113" spans="1:4" x14ac:dyDescent="0.3">
      <c r="A113" t="s">
        <v>105</v>
      </c>
      <c r="B113" t="s">
        <v>469</v>
      </c>
      <c r="C113" t="s">
        <v>73</v>
      </c>
      <c r="D113" t="s">
        <v>1752</v>
      </c>
    </row>
    <row r="114" spans="1:4" x14ac:dyDescent="0.3">
      <c r="A114" t="s">
        <v>105</v>
      </c>
      <c r="B114" t="s">
        <v>469</v>
      </c>
      <c r="C114" t="s">
        <v>61</v>
      </c>
      <c r="D114" t="s">
        <v>1753</v>
      </c>
    </row>
    <row r="115" spans="1:4" x14ac:dyDescent="0.3">
      <c r="A115" t="s">
        <v>105</v>
      </c>
      <c r="B115" t="s">
        <v>469</v>
      </c>
      <c r="C115" t="s">
        <v>61</v>
      </c>
      <c r="D115" t="s">
        <v>1754</v>
      </c>
    </row>
    <row r="116" spans="1:4" x14ac:dyDescent="0.3">
      <c r="A116" t="s">
        <v>105</v>
      </c>
      <c r="B116" t="s">
        <v>469</v>
      </c>
      <c r="C116" t="s">
        <v>61</v>
      </c>
      <c r="D116" t="s">
        <v>1755</v>
      </c>
    </row>
    <row r="117" spans="1:4" x14ac:dyDescent="0.3">
      <c r="A117" t="s">
        <v>105</v>
      </c>
      <c r="B117" t="s">
        <v>469</v>
      </c>
      <c r="C117" t="s">
        <v>61</v>
      </c>
      <c r="D117" t="s">
        <v>1756</v>
      </c>
    </row>
    <row r="118" spans="1:4" x14ac:dyDescent="0.3">
      <c r="A118" t="s">
        <v>105</v>
      </c>
      <c r="B118" t="s">
        <v>469</v>
      </c>
      <c r="C118" t="s">
        <v>61</v>
      </c>
      <c r="D118" t="s">
        <v>1757</v>
      </c>
    </row>
    <row r="119" spans="1:4" x14ac:dyDescent="0.3">
      <c r="A119" t="s">
        <v>105</v>
      </c>
      <c r="B119" t="s">
        <v>469</v>
      </c>
      <c r="C119" t="s">
        <v>61</v>
      </c>
      <c r="D119" t="s">
        <v>1758</v>
      </c>
    </row>
    <row r="120" spans="1:4" x14ac:dyDescent="0.3">
      <c r="A120" t="s">
        <v>105</v>
      </c>
      <c r="B120" t="s">
        <v>469</v>
      </c>
      <c r="C120" t="s">
        <v>61</v>
      </c>
      <c r="D120" t="s">
        <v>1759</v>
      </c>
    </row>
    <row r="121" spans="1:4" x14ac:dyDescent="0.3">
      <c r="A121" t="s">
        <v>105</v>
      </c>
      <c r="B121" t="s">
        <v>469</v>
      </c>
      <c r="C121" t="s">
        <v>61</v>
      </c>
      <c r="D121" t="s">
        <v>1760</v>
      </c>
    </row>
    <row r="122" spans="1:4" x14ac:dyDescent="0.3">
      <c r="A122" t="s">
        <v>105</v>
      </c>
      <c r="B122" t="s">
        <v>469</v>
      </c>
      <c r="C122" t="s">
        <v>67</v>
      </c>
      <c r="D122" t="s">
        <v>1761</v>
      </c>
    </row>
    <row r="123" spans="1:4" x14ac:dyDescent="0.3">
      <c r="A123" t="s">
        <v>105</v>
      </c>
      <c r="B123" t="s">
        <v>469</v>
      </c>
      <c r="C123" t="s">
        <v>67</v>
      </c>
      <c r="D123" t="s">
        <v>1762</v>
      </c>
    </row>
    <row r="124" spans="1:4" x14ac:dyDescent="0.3">
      <c r="A124" t="s">
        <v>105</v>
      </c>
      <c r="B124" t="s">
        <v>469</v>
      </c>
      <c r="C124" t="s">
        <v>67</v>
      </c>
      <c r="D124" t="s">
        <v>1763</v>
      </c>
    </row>
    <row r="125" spans="1:4" x14ac:dyDescent="0.3">
      <c r="A125" t="s">
        <v>105</v>
      </c>
      <c r="B125" t="s">
        <v>469</v>
      </c>
      <c r="C125" t="s">
        <v>67</v>
      </c>
      <c r="D125" t="s">
        <v>1764</v>
      </c>
    </row>
    <row r="126" spans="1:4" x14ac:dyDescent="0.3">
      <c r="A126" t="s">
        <v>105</v>
      </c>
      <c r="B126" t="s">
        <v>469</v>
      </c>
      <c r="C126" t="s">
        <v>67</v>
      </c>
      <c r="D126" t="s">
        <v>1765</v>
      </c>
    </row>
    <row r="127" spans="1:4" x14ac:dyDescent="0.3">
      <c r="A127" t="s">
        <v>105</v>
      </c>
      <c r="B127" t="s">
        <v>469</v>
      </c>
      <c r="C127" t="s">
        <v>67</v>
      </c>
      <c r="D127" t="s">
        <v>1766</v>
      </c>
    </row>
    <row r="128" spans="1:4" x14ac:dyDescent="0.3">
      <c r="A128" t="s">
        <v>105</v>
      </c>
      <c r="B128" t="s">
        <v>469</v>
      </c>
      <c r="C128" t="s">
        <v>67</v>
      </c>
      <c r="D128" t="s">
        <v>1767</v>
      </c>
    </row>
    <row r="129" spans="1:4" x14ac:dyDescent="0.3">
      <c r="A129" t="s">
        <v>105</v>
      </c>
      <c r="B129" t="s">
        <v>469</v>
      </c>
      <c r="C129" t="s">
        <v>67</v>
      </c>
      <c r="D129" t="s">
        <v>1768</v>
      </c>
    </row>
    <row r="130" spans="1:4" x14ac:dyDescent="0.3">
      <c r="A130" t="s">
        <v>105</v>
      </c>
      <c r="B130" t="s">
        <v>642</v>
      </c>
      <c r="C130" t="s">
        <v>64</v>
      </c>
      <c r="D130" t="s">
        <v>1769</v>
      </c>
    </row>
    <row r="131" spans="1:4" x14ac:dyDescent="0.3">
      <c r="A131" t="s">
        <v>105</v>
      </c>
      <c r="B131" t="s">
        <v>642</v>
      </c>
      <c r="C131" t="s">
        <v>64</v>
      </c>
      <c r="D131" t="s">
        <v>1770</v>
      </c>
    </row>
    <row r="132" spans="1:4" x14ac:dyDescent="0.3">
      <c r="A132" t="s">
        <v>105</v>
      </c>
      <c r="B132" t="s">
        <v>642</v>
      </c>
      <c r="C132" t="s">
        <v>64</v>
      </c>
      <c r="D132" t="s">
        <v>1771</v>
      </c>
    </row>
    <row r="133" spans="1:4" x14ac:dyDescent="0.3">
      <c r="A133" t="s">
        <v>105</v>
      </c>
      <c r="B133" t="s">
        <v>642</v>
      </c>
      <c r="C133" t="s">
        <v>64</v>
      </c>
      <c r="D133" t="s">
        <v>1772</v>
      </c>
    </row>
    <row r="134" spans="1:4" x14ac:dyDescent="0.3">
      <c r="A134" t="s">
        <v>105</v>
      </c>
      <c r="B134" t="s">
        <v>642</v>
      </c>
      <c r="C134" t="s">
        <v>64</v>
      </c>
      <c r="D134" t="s">
        <v>1773</v>
      </c>
    </row>
    <row r="135" spans="1:4" x14ac:dyDescent="0.3">
      <c r="A135" t="s">
        <v>105</v>
      </c>
      <c r="B135" t="s">
        <v>642</v>
      </c>
      <c r="C135" t="s">
        <v>64</v>
      </c>
      <c r="D135" t="s">
        <v>1774</v>
      </c>
    </row>
    <row r="136" spans="1:4" x14ac:dyDescent="0.3">
      <c r="A136" t="s">
        <v>105</v>
      </c>
      <c r="B136" t="s">
        <v>642</v>
      </c>
      <c r="C136" t="s">
        <v>64</v>
      </c>
      <c r="D136" t="s">
        <v>1775</v>
      </c>
    </row>
    <row r="137" spans="1:4" x14ac:dyDescent="0.3">
      <c r="A137" t="s">
        <v>105</v>
      </c>
      <c r="B137" t="s">
        <v>642</v>
      </c>
      <c r="C137" t="s">
        <v>64</v>
      </c>
      <c r="D137" t="s">
        <v>1776</v>
      </c>
    </row>
    <row r="138" spans="1:4" x14ac:dyDescent="0.3">
      <c r="A138" t="s">
        <v>105</v>
      </c>
      <c r="B138" t="s">
        <v>642</v>
      </c>
      <c r="C138" t="s">
        <v>73</v>
      </c>
      <c r="D138" t="s">
        <v>1777</v>
      </c>
    </row>
    <row r="139" spans="1:4" x14ac:dyDescent="0.3">
      <c r="A139" t="s">
        <v>105</v>
      </c>
      <c r="B139" t="s">
        <v>642</v>
      </c>
      <c r="C139" t="s">
        <v>73</v>
      </c>
      <c r="D139" t="s">
        <v>1778</v>
      </c>
    </row>
    <row r="140" spans="1:4" x14ac:dyDescent="0.3">
      <c r="A140" t="s">
        <v>105</v>
      </c>
      <c r="B140" t="s">
        <v>642</v>
      </c>
      <c r="C140" t="s">
        <v>73</v>
      </c>
      <c r="D140" t="s">
        <v>1779</v>
      </c>
    </row>
    <row r="141" spans="1:4" x14ac:dyDescent="0.3">
      <c r="A141" t="s">
        <v>105</v>
      </c>
      <c r="B141" t="s">
        <v>642</v>
      </c>
      <c r="C141" t="s">
        <v>73</v>
      </c>
      <c r="D141" t="s">
        <v>1780</v>
      </c>
    </row>
    <row r="142" spans="1:4" x14ac:dyDescent="0.3">
      <c r="A142" t="s">
        <v>105</v>
      </c>
      <c r="B142" t="s">
        <v>642</v>
      </c>
      <c r="C142" t="s">
        <v>73</v>
      </c>
      <c r="D142" t="s">
        <v>1781</v>
      </c>
    </row>
    <row r="143" spans="1:4" x14ac:dyDescent="0.3">
      <c r="A143" t="s">
        <v>105</v>
      </c>
      <c r="B143" t="s">
        <v>642</v>
      </c>
      <c r="C143" t="s">
        <v>73</v>
      </c>
      <c r="D143" t="s">
        <v>1782</v>
      </c>
    </row>
    <row r="144" spans="1:4" x14ac:dyDescent="0.3">
      <c r="A144" t="s">
        <v>105</v>
      </c>
      <c r="B144" t="s">
        <v>642</v>
      </c>
      <c r="C144" t="s">
        <v>73</v>
      </c>
      <c r="D144" t="s">
        <v>1783</v>
      </c>
    </row>
    <row r="145" spans="1:4" x14ac:dyDescent="0.3">
      <c r="A145" t="s">
        <v>105</v>
      </c>
      <c r="B145" t="s">
        <v>642</v>
      </c>
      <c r="C145" t="s">
        <v>73</v>
      </c>
      <c r="D145" t="s">
        <v>1784</v>
      </c>
    </row>
    <row r="146" spans="1:4" x14ac:dyDescent="0.3">
      <c r="A146" t="s">
        <v>105</v>
      </c>
      <c r="B146" t="s">
        <v>642</v>
      </c>
      <c r="C146" t="s">
        <v>61</v>
      </c>
      <c r="D146" t="s">
        <v>1785</v>
      </c>
    </row>
    <row r="147" spans="1:4" x14ac:dyDescent="0.3">
      <c r="A147" t="s">
        <v>105</v>
      </c>
      <c r="B147" t="s">
        <v>642</v>
      </c>
      <c r="C147" t="s">
        <v>61</v>
      </c>
      <c r="D147" t="s">
        <v>1786</v>
      </c>
    </row>
    <row r="148" spans="1:4" x14ac:dyDescent="0.3">
      <c r="A148" t="s">
        <v>105</v>
      </c>
      <c r="B148" t="s">
        <v>642</v>
      </c>
      <c r="C148" t="s">
        <v>61</v>
      </c>
      <c r="D148" t="s">
        <v>659</v>
      </c>
    </row>
    <row r="149" spans="1:4" x14ac:dyDescent="0.3">
      <c r="A149" t="s">
        <v>105</v>
      </c>
      <c r="B149" t="s">
        <v>642</v>
      </c>
      <c r="C149" t="s">
        <v>61</v>
      </c>
      <c r="D149" t="s">
        <v>1787</v>
      </c>
    </row>
    <row r="150" spans="1:4" x14ac:dyDescent="0.3">
      <c r="A150" t="s">
        <v>105</v>
      </c>
      <c r="B150" t="s">
        <v>642</v>
      </c>
      <c r="C150" t="s">
        <v>61</v>
      </c>
      <c r="D150" t="s">
        <v>1788</v>
      </c>
    </row>
    <row r="151" spans="1:4" x14ac:dyDescent="0.3">
      <c r="A151" t="s">
        <v>105</v>
      </c>
      <c r="B151" t="s">
        <v>642</v>
      </c>
      <c r="C151" t="s">
        <v>61</v>
      </c>
      <c r="D151" t="s">
        <v>1789</v>
      </c>
    </row>
    <row r="152" spans="1:4" x14ac:dyDescent="0.3">
      <c r="A152" t="s">
        <v>105</v>
      </c>
      <c r="B152" t="s">
        <v>642</v>
      </c>
      <c r="C152" t="s">
        <v>61</v>
      </c>
      <c r="D152" t="s">
        <v>1790</v>
      </c>
    </row>
    <row r="153" spans="1:4" x14ac:dyDescent="0.3">
      <c r="A153" t="s">
        <v>105</v>
      </c>
      <c r="B153" t="s">
        <v>642</v>
      </c>
      <c r="C153" t="s">
        <v>61</v>
      </c>
      <c r="D153" t="s">
        <v>1791</v>
      </c>
    </row>
    <row r="154" spans="1:4" x14ac:dyDescent="0.3">
      <c r="A154" t="s">
        <v>105</v>
      </c>
      <c r="B154" t="s">
        <v>642</v>
      </c>
      <c r="C154" t="s">
        <v>67</v>
      </c>
      <c r="D154" t="s">
        <v>326</v>
      </c>
    </row>
    <row r="155" spans="1:4" x14ac:dyDescent="0.3">
      <c r="A155" t="s">
        <v>105</v>
      </c>
      <c r="B155" t="s">
        <v>642</v>
      </c>
      <c r="C155" t="s">
        <v>67</v>
      </c>
      <c r="D155" t="s">
        <v>492</v>
      </c>
    </row>
    <row r="156" spans="1:4" x14ac:dyDescent="0.3">
      <c r="A156" t="s">
        <v>105</v>
      </c>
      <c r="B156" t="s">
        <v>642</v>
      </c>
      <c r="C156" t="s">
        <v>67</v>
      </c>
      <c r="D156" t="s">
        <v>665</v>
      </c>
    </row>
    <row r="157" spans="1:4" x14ac:dyDescent="0.3">
      <c r="A157" t="s">
        <v>105</v>
      </c>
      <c r="B157" t="s">
        <v>642</v>
      </c>
      <c r="C157" t="s">
        <v>67</v>
      </c>
      <c r="D157" t="s">
        <v>68</v>
      </c>
    </row>
    <row r="158" spans="1:4" x14ac:dyDescent="0.3">
      <c r="A158" t="s">
        <v>105</v>
      </c>
      <c r="B158" t="s">
        <v>642</v>
      </c>
      <c r="C158" t="s">
        <v>67</v>
      </c>
      <c r="D158" t="s">
        <v>1792</v>
      </c>
    </row>
    <row r="159" spans="1:4" x14ac:dyDescent="0.3">
      <c r="A159" t="s">
        <v>105</v>
      </c>
      <c r="B159" t="s">
        <v>642</v>
      </c>
      <c r="C159" t="s">
        <v>67</v>
      </c>
      <c r="D159" t="s">
        <v>1793</v>
      </c>
    </row>
    <row r="160" spans="1:4" x14ac:dyDescent="0.3">
      <c r="A160" t="s">
        <v>105</v>
      </c>
      <c r="B160" t="s">
        <v>642</v>
      </c>
      <c r="C160" t="s">
        <v>67</v>
      </c>
      <c r="D160" t="s">
        <v>1794</v>
      </c>
    </row>
    <row r="161" spans="1:4" x14ac:dyDescent="0.3">
      <c r="A161" t="s">
        <v>105</v>
      </c>
      <c r="B161" t="s">
        <v>642</v>
      </c>
      <c r="C161" t="s">
        <v>67</v>
      </c>
      <c r="D161" t="s">
        <v>1795</v>
      </c>
    </row>
    <row r="162" spans="1:4" x14ac:dyDescent="0.3">
      <c r="A162" t="s">
        <v>105</v>
      </c>
      <c r="B162" t="s">
        <v>101</v>
      </c>
      <c r="C162" t="s">
        <v>64</v>
      </c>
      <c r="D162" t="s">
        <v>65</v>
      </c>
    </row>
    <row r="163" spans="1:4" x14ac:dyDescent="0.3">
      <c r="A163" t="s">
        <v>105</v>
      </c>
      <c r="B163" t="s">
        <v>101</v>
      </c>
      <c r="C163" t="s">
        <v>64</v>
      </c>
      <c r="D163" t="s">
        <v>472</v>
      </c>
    </row>
    <row r="164" spans="1:4" x14ac:dyDescent="0.3">
      <c r="A164" t="s">
        <v>105</v>
      </c>
      <c r="B164" t="s">
        <v>101</v>
      </c>
      <c r="C164" t="s">
        <v>64</v>
      </c>
      <c r="D164" t="s">
        <v>645</v>
      </c>
    </row>
    <row r="165" spans="1:4" x14ac:dyDescent="0.3">
      <c r="A165" t="s">
        <v>105</v>
      </c>
      <c r="B165" t="s">
        <v>101</v>
      </c>
      <c r="C165" t="s">
        <v>64</v>
      </c>
      <c r="D165" t="s">
        <v>812</v>
      </c>
    </row>
    <row r="166" spans="1:4" x14ac:dyDescent="0.3">
      <c r="A166" t="s">
        <v>105</v>
      </c>
      <c r="B166" t="s">
        <v>101</v>
      </c>
      <c r="C166" t="s">
        <v>64</v>
      </c>
      <c r="D166" t="s">
        <v>974</v>
      </c>
    </row>
    <row r="167" spans="1:4" x14ac:dyDescent="0.3">
      <c r="A167" t="s">
        <v>105</v>
      </c>
      <c r="B167" t="s">
        <v>101</v>
      </c>
      <c r="C167" t="s">
        <v>64</v>
      </c>
      <c r="D167" t="s">
        <v>1143</v>
      </c>
    </row>
    <row r="168" spans="1:4" x14ac:dyDescent="0.3">
      <c r="A168" t="s">
        <v>105</v>
      </c>
      <c r="B168" t="s">
        <v>101</v>
      </c>
      <c r="C168" t="s">
        <v>64</v>
      </c>
      <c r="D168" t="s">
        <v>1314</v>
      </c>
    </row>
    <row r="169" spans="1:4" x14ac:dyDescent="0.3">
      <c r="A169" t="s">
        <v>105</v>
      </c>
      <c r="B169" t="s">
        <v>101</v>
      </c>
      <c r="C169" t="s">
        <v>64</v>
      </c>
      <c r="D169" t="s">
        <v>1486</v>
      </c>
    </row>
    <row r="170" spans="1:4" x14ac:dyDescent="0.3">
      <c r="A170" t="s">
        <v>105</v>
      </c>
      <c r="B170" t="s">
        <v>101</v>
      </c>
      <c r="C170" t="s">
        <v>73</v>
      </c>
      <c r="D170" t="s">
        <v>1796</v>
      </c>
    </row>
    <row r="171" spans="1:4" x14ac:dyDescent="0.3">
      <c r="A171" t="s">
        <v>105</v>
      </c>
      <c r="B171" t="s">
        <v>101</v>
      </c>
      <c r="C171" t="s">
        <v>73</v>
      </c>
      <c r="D171" t="s">
        <v>478</v>
      </c>
    </row>
    <row r="172" spans="1:4" x14ac:dyDescent="0.3">
      <c r="A172" t="s">
        <v>105</v>
      </c>
      <c r="B172" t="s">
        <v>101</v>
      </c>
      <c r="C172" t="s">
        <v>73</v>
      </c>
      <c r="D172" t="s">
        <v>651</v>
      </c>
    </row>
    <row r="173" spans="1:4" x14ac:dyDescent="0.3">
      <c r="A173" t="s">
        <v>105</v>
      </c>
      <c r="B173" t="s">
        <v>101</v>
      </c>
      <c r="C173" t="s">
        <v>73</v>
      </c>
      <c r="D173" t="s">
        <v>818</v>
      </c>
    </row>
    <row r="174" spans="1:4" x14ac:dyDescent="0.3">
      <c r="A174" t="s">
        <v>105</v>
      </c>
      <c r="B174" t="s">
        <v>101</v>
      </c>
      <c r="C174" t="s">
        <v>73</v>
      </c>
      <c r="D174" t="s">
        <v>980</v>
      </c>
    </row>
    <row r="175" spans="1:4" x14ac:dyDescent="0.3">
      <c r="A175" t="s">
        <v>105</v>
      </c>
      <c r="B175" t="s">
        <v>101</v>
      </c>
      <c r="C175" t="s">
        <v>73</v>
      </c>
      <c r="D175" t="s">
        <v>1149</v>
      </c>
    </row>
    <row r="176" spans="1:4" x14ac:dyDescent="0.3">
      <c r="A176" t="s">
        <v>105</v>
      </c>
      <c r="B176" t="s">
        <v>101</v>
      </c>
      <c r="C176" t="s">
        <v>73</v>
      </c>
      <c r="D176" t="s">
        <v>1320</v>
      </c>
    </row>
    <row r="177" spans="1:4" x14ac:dyDescent="0.3">
      <c r="A177" t="s">
        <v>105</v>
      </c>
      <c r="B177" t="s">
        <v>101</v>
      </c>
      <c r="C177" t="s">
        <v>73</v>
      </c>
      <c r="D177" t="s">
        <v>1492</v>
      </c>
    </row>
    <row r="178" spans="1:4" x14ac:dyDescent="0.3">
      <c r="A178" t="s">
        <v>105</v>
      </c>
      <c r="B178" t="s">
        <v>101</v>
      </c>
      <c r="C178" t="s">
        <v>61</v>
      </c>
      <c r="D178" t="s">
        <v>318</v>
      </c>
    </row>
    <row r="179" spans="1:4" x14ac:dyDescent="0.3">
      <c r="A179" t="s">
        <v>105</v>
      </c>
      <c r="B179" t="s">
        <v>101</v>
      </c>
      <c r="C179" t="s">
        <v>61</v>
      </c>
      <c r="D179" t="s">
        <v>484</v>
      </c>
    </row>
    <row r="180" spans="1:4" x14ac:dyDescent="0.3">
      <c r="A180" t="s">
        <v>105</v>
      </c>
      <c r="B180" t="s">
        <v>101</v>
      </c>
      <c r="C180" t="s">
        <v>61</v>
      </c>
      <c r="D180" t="s">
        <v>1797</v>
      </c>
    </row>
    <row r="181" spans="1:4" x14ac:dyDescent="0.3">
      <c r="A181" t="s">
        <v>105</v>
      </c>
      <c r="B181" t="s">
        <v>101</v>
      </c>
      <c r="C181" t="s">
        <v>61</v>
      </c>
      <c r="D181" t="s">
        <v>824</v>
      </c>
    </row>
    <row r="182" spans="1:4" x14ac:dyDescent="0.3">
      <c r="A182" t="s">
        <v>105</v>
      </c>
      <c r="B182" t="s">
        <v>101</v>
      </c>
      <c r="C182" t="s">
        <v>61</v>
      </c>
      <c r="D182" t="s">
        <v>1798</v>
      </c>
    </row>
    <row r="183" spans="1:4" x14ac:dyDescent="0.3">
      <c r="A183" t="s">
        <v>105</v>
      </c>
      <c r="B183" t="s">
        <v>101</v>
      </c>
      <c r="C183" t="s">
        <v>61</v>
      </c>
      <c r="D183" t="s">
        <v>1799</v>
      </c>
    </row>
    <row r="184" spans="1:4" x14ac:dyDescent="0.3">
      <c r="A184" t="s">
        <v>105</v>
      </c>
      <c r="B184" t="s">
        <v>101</v>
      </c>
      <c r="C184" t="s">
        <v>61</v>
      </c>
      <c r="D184" t="s">
        <v>1800</v>
      </c>
    </row>
    <row r="185" spans="1:4" x14ac:dyDescent="0.3">
      <c r="A185" t="s">
        <v>105</v>
      </c>
      <c r="B185" t="s">
        <v>101</v>
      </c>
      <c r="C185" t="s">
        <v>61</v>
      </c>
      <c r="D185" t="s">
        <v>1498</v>
      </c>
    </row>
    <row r="186" spans="1:4" x14ac:dyDescent="0.3">
      <c r="A186" t="s">
        <v>105</v>
      </c>
      <c r="B186" t="s">
        <v>101</v>
      </c>
      <c r="C186" t="s">
        <v>67</v>
      </c>
      <c r="D186" t="s">
        <v>324</v>
      </c>
    </row>
    <row r="187" spans="1:4" x14ac:dyDescent="0.3">
      <c r="A187" t="s">
        <v>105</v>
      </c>
      <c r="B187" t="s">
        <v>101</v>
      </c>
      <c r="C187" t="s">
        <v>67</v>
      </c>
      <c r="D187" t="s">
        <v>490</v>
      </c>
    </row>
    <row r="188" spans="1:4" x14ac:dyDescent="0.3">
      <c r="A188" t="s">
        <v>105</v>
      </c>
      <c r="B188" t="s">
        <v>101</v>
      </c>
      <c r="C188" t="s">
        <v>67</v>
      </c>
      <c r="D188" t="s">
        <v>663</v>
      </c>
    </row>
    <row r="189" spans="1:4" x14ac:dyDescent="0.3">
      <c r="A189" t="s">
        <v>105</v>
      </c>
      <c r="B189" t="s">
        <v>101</v>
      </c>
      <c r="C189" t="s">
        <v>67</v>
      </c>
      <c r="D189" t="s">
        <v>1801</v>
      </c>
    </row>
    <row r="190" spans="1:4" x14ac:dyDescent="0.3">
      <c r="A190" t="s">
        <v>105</v>
      </c>
      <c r="B190" t="s">
        <v>101</v>
      </c>
      <c r="C190" t="s">
        <v>67</v>
      </c>
      <c r="D190" t="s">
        <v>992</v>
      </c>
    </row>
    <row r="191" spans="1:4" x14ac:dyDescent="0.3">
      <c r="A191" t="s">
        <v>105</v>
      </c>
      <c r="B191" t="s">
        <v>101</v>
      </c>
      <c r="C191" t="s">
        <v>67</v>
      </c>
      <c r="D191" t="s">
        <v>1802</v>
      </c>
    </row>
    <row r="192" spans="1:4" x14ac:dyDescent="0.3">
      <c r="A192" t="s">
        <v>105</v>
      </c>
      <c r="B192" t="s">
        <v>101</v>
      </c>
      <c r="C192" t="s">
        <v>67</v>
      </c>
      <c r="D192" t="s">
        <v>1332</v>
      </c>
    </row>
    <row r="193" spans="1:4" x14ac:dyDescent="0.3">
      <c r="A193" t="s">
        <v>105</v>
      </c>
      <c r="B193" t="s">
        <v>101</v>
      </c>
      <c r="C193" t="s">
        <v>67</v>
      </c>
      <c r="D193" t="s">
        <v>1504</v>
      </c>
    </row>
    <row r="194" spans="1:4" x14ac:dyDescent="0.3">
      <c r="A194" t="s">
        <v>106</v>
      </c>
      <c r="B194" t="s">
        <v>100</v>
      </c>
      <c r="C194" t="s">
        <v>64</v>
      </c>
      <c r="D194" t="s">
        <v>329</v>
      </c>
    </row>
    <row r="195" spans="1:4" x14ac:dyDescent="0.3">
      <c r="A195" t="s">
        <v>106</v>
      </c>
      <c r="B195" t="s">
        <v>100</v>
      </c>
      <c r="C195" t="s">
        <v>64</v>
      </c>
      <c r="D195" t="s">
        <v>1803</v>
      </c>
    </row>
    <row r="196" spans="1:4" x14ac:dyDescent="0.3">
      <c r="A196" t="s">
        <v>106</v>
      </c>
      <c r="B196" t="s">
        <v>100</v>
      </c>
      <c r="C196" t="s">
        <v>64</v>
      </c>
      <c r="D196" t="s">
        <v>668</v>
      </c>
    </row>
    <row r="197" spans="1:4" x14ac:dyDescent="0.3">
      <c r="A197" t="s">
        <v>106</v>
      </c>
      <c r="B197" t="s">
        <v>100</v>
      </c>
      <c r="C197" t="s">
        <v>64</v>
      </c>
      <c r="D197" t="s">
        <v>1804</v>
      </c>
    </row>
    <row r="198" spans="1:4" x14ac:dyDescent="0.3">
      <c r="A198" t="s">
        <v>106</v>
      </c>
      <c r="B198" t="s">
        <v>100</v>
      </c>
      <c r="C198" t="s">
        <v>64</v>
      </c>
      <c r="D198" t="s">
        <v>997</v>
      </c>
    </row>
    <row r="199" spans="1:4" x14ac:dyDescent="0.3">
      <c r="A199" t="s">
        <v>106</v>
      </c>
      <c r="B199" t="s">
        <v>100</v>
      </c>
      <c r="C199" t="s">
        <v>64</v>
      </c>
      <c r="D199" t="s">
        <v>1166</v>
      </c>
    </row>
    <row r="200" spans="1:4" x14ac:dyDescent="0.3">
      <c r="A200" t="s">
        <v>106</v>
      </c>
      <c r="B200" t="s">
        <v>100</v>
      </c>
      <c r="C200" t="s">
        <v>64</v>
      </c>
      <c r="D200" t="s">
        <v>1805</v>
      </c>
    </row>
    <row r="201" spans="1:4" x14ac:dyDescent="0.3">
      <c r="A201" t="s">
        <v>106</v>
      </c>
      <c r="B201" t="s">
        <v>100</v>
      </c>
      <c r="C201" t="s">
        <v>64</v>
      </c>
      <c r="D201" t="s">
        <v>1509</v>
      </c>
    </row>
    <row r="202" spans="1:4" x14ac:dyDescent="0.3">
      <c r="A202" t="s">
        <v>106</v>
      </c>
      <c r="B202" t="s">
        <v>100</v>
      </c>
      <c r="C202" t="s">
        <v>73</v>
      </c>
      <c r="D202" t="s">
        <v>1806</v>
      </c>
    </row>
    <row r="203" spans="1:4" x14ac:dyDescent="0.3">
      <c r="A203" t="s">
        <v>106</v>
      </c>
      <c r="B203" t="s">
        <v>100</v>
      </c>
      <c r="C203" t="s">
        <v>73</v>
      </c>
      <c r="D203" t="s">
        <v>1807</v>
      </c>
    </row>
    <row r="204" spans="1:4" x14ac:dyDescent="0.3">
      <c r="A204" t="s">
        <v>106</v>
      </c>
      <c r="B204" t="s">
        <v>100</v>
      </c>
      <c r="C204" t="s">
        <v>73</v>
      </c>
      <c r="D204" t="s">
        <v>1808</v>
      </c>
    </row>
    <row r="205" spans="1:4" x14ac:dyDescent="0.3">
      <c r="A205" t="s">
        <v>106</v>
      </c>
      <c r="B205" t="s">
        <v>100</v>
      </c>
      <c r="C205" t="s">
        <v>73</v>
      </c>
      <c r="D205" t="s">
        <v>1809</v>
      </c>
    </row>
    <row r="206" spans="1:4" x14ac:dyDescent="0.3">
      <c r="A206" t="s">
        <v>106</v>
      </c>
      <c r="B206" t="s">
        <v>100</v>
      </c>
      <c r="C206" t="s">
        <v>73</v>
      </c>
      <c r="D206" t="s">
        <v>1810</v>
      </c>
    </row>
    <row r="207" spans="1:4" x14ac:dyDescent="0.3">
      <c r="A207" t="s">
        <v>106</v>
      </c>
      <c r="B207" t="s">
        <v>100</v>
      </c>
      <c r="C207" t="s">
        <v>73</v>
      </c>
      <c r="D207" t="s">
        <v>1811</v>
      </c>
    </row>
    <row r="208" spans="1:4" x14ac:dyDescent="0.3">
      <c r="A208" t="s">
        <v>106</v>
      </c>
      <c r="B208" t="s">
        <v>100</v>
      </c>
      <c r="C208" t="s">
        <v>73</v>
      </c>
      <c r="D208" t="s">
        <v>1812</v>
      </c>
    </row>
    <row r="209" spans="1:4" x14ac:dyDescent="0.3">
      <c r="A209" t="s">
        <v>106</v>
      </c>
      <c r="B209" t="s">
        <v>100</v>
      </c>
      <c r="C209" t="s">
        <v>73</v>
      </c>
      <c r="D209" t="s">
        <v>1813</v>
      </c>
    </row>
    <row r="210" spans="1:4" x14ac:dyDescent="0.3">
      <c r="A210" t="s">
        <v>106</v>
      </c>
      <c r="B210" t="s">
        <v>100</v>
      </c>
      <c r="C210" t="s">
        <v>61</v>
      </c>
      <c r="D210" t="s">
        <v>1814</v>
      </c>
    </row>
    <row r="211" spans="1:4" x14ac:dyDescent="0.3">
      <c r="A211" t="s">
        <v>106</v>
      </c>
      <c r="B211" t="s">
        <v>100</v>
      </c>
      <c r="C211" t="s">
        <v>61</v>
      </c>
      <c r="D211" t="s">
        <v>1815</v>
      </c>
    </row>
    <row r="212" spans="1:4" x14ac:dyDescent="0.3">
      <c r="A212" t="s">
        <v>106</v>
      </c>
      <c r="B212" t="s">
        <v>100</v>
      </c>
      <c r="C212" t="s">
        <v>61</v>
      </c>
      <c r="D212" t="s">
        <v>1816</v>
      </c>
    </row>
    <row r="213" spans="1:4" x14ac:dyDescent="0.3">
      <c r="A213" t="s">
        <v>106</v>
      </c>
      <c r="B213" t="s">
        <v>100</v>
      </c>
      <c r="C213" t="s">
        <v>61</v>
      </c>
      <c r="D213" t="s">
        <v>1817</v>
      </c>
    </row>
    <row r="214" spans="1:4" x14ac:dyDescent="0.3">
      <c r="A214" t="s">
        <v>106</v>
      </c>
      <c r="B214" t="s">
        <v>100</v>
      </c>
      <c r="C214" t="s">
        <v>61</v>
      </c>
      <c r="D214" t="s">
        <v>1818</v>
      </c>
    </row>
    <row r="215" spans="1:4" x14ac:dyDescent="0.3">
      <c r="A215" t="s">
        <v>106</v>
      </c>
      <c r="B215" t="s">
        <v>100</v>
      </c>
      <c r="C215" t="s">
        <v>61</v>
      </c>
      <c r="D215" t="s">
        <v>1819</v>
      </c>
    </row>
    <row r="216" spans="1:4" x14ac:dyDescent="0.3">
      <c r="A216" t="s">
        <v>106</v>
      </c>
      <c r="B216" t="s">
        <v>100</v>
      </c>
      <c r="C216" t="s">
        <v>61</v>
      </c>
      <c r="D216" t="s">
        <v>1820</v>
      </c>
    </row>
    <row r="217" spans="1:4" x14ac:dyDescent="0.3">
      <c r="A217" t="s">
        <v>106</v>
      </c>
      <c r="B217" t="s">
        <v>100</v>
      </c>
      <c r="C217" t="s">
        <v>61</v>
      </c>
      <c r="D217" t="s">
        <v>1821</v>
      </c>
    </row>
    <row r="218" spans="1:4" x14ac:dyDescent="0.3">
      <c r="A218" t="s">
        <v>106</v>
      </c>
      <c r="B218" t="s">
        <v>100</v>
      </c>
      <c r="C218" t="s">
        <v>67</v>
      </c>
      <c r="D218" t="s">
        <v>1822</v>
      </c>
    </row>
    <row r="219" spans="1:4" x14ac:dyDescent="0.3">
      <c r="A219" t="s">
        <v>106</v>
      </c>
      <c r="B219" t="s">
        <v>100</v>
      </c>
      <c r="C219" t="s">
        <v>67</v>
      </c>
      <c r="D219" t="s">
        <v>1823</v>
      </c>
    </row>
    <row r="220" spans="1:4" x14ac:dyDescent="0.3">
      <c r="A220" t="s">
        <v>106</v>
      </c>
      <c r="B220" t="s">
        <v>100</v>
      </c>
      <c r="C220" t="s">
        <v>67</v>
      </c>
      <c r="D220" t="s">
        <v>1824</v>
      </c>
    </row>
    <row r="221" spans="1:4" x14ac:dyDescent="0.3">
      <c r="A221" t="s">
        <v>106</v>
      </c>
      <c r="B221" t="s">
        <v>100</v>
      </c>
      <c r="C221" t="s">
        <v>67</v>
      </c>
      <c r="D221" t="s">
        <v>1825</v>
      </c>
    </row>
    <row r="222" spans="1:4" x14ac:dyDescent="0.3">
      <c r="A222" t="s">
        <v>106</v>
      </c>
      <c r="B222" t="s">
        <v>100</v>
      </c>
      <c r="C222" t="s">
        <v>67</v>
      </c>
      <c r="D222" t="s">
        <v>1826</v>
      </c>
    </row>
    <row r="223" spans="1:4" x14ac:dyDescent="0.3">
      <c r="A223" t="s">
        <v>106</v>
      </c>
      <c r="B223" t="s">
        <v>100</v>
      </c>
      <c r="C223" t="s">
        <v>67</v>
      </c>
      <c r="D223" t="s">
        <v>1827</v>
      </c>
    </row>
    <row r="224" spans="1:4" x14ac:dyDescent="0.3">
      <c r="A224" t="s">
        <v>106</v>
      </c>
      <c r="B224" t="s">
        <v>100</v>
      </c>
      <c r="C224" t="s">
        <v>67</v>
      </c>
      <c r="D224" t="s">
        <v>1828</v>
      </c>
    </row>
    <row r="225" spans="1:4" x14ac:dyDescent="0.3">
      <c r="A225" t="s">
        <v>106</v>
      </c>
      <c r="B225" t="s">
        <v>100</v>
      </c>
      <c r="C225" t="s">
        <v>67</v>
      </c>
      <c r="D225" t="s">
        <v>1829</v>
      </c>
    </row>
    <row r="226" spans="1:4" x14ac:dyDescent="0.3">
      <c r="A226" t="s">
        <v>106</v>
      </c>
      <c r="B226" t="s">
        <v>99</v>
      </c>
      <c r="C226" t="s">
        <v>64</v>
      </c>
      <c r="D226" t="s">
        <v>1830</v>
      </c>
    </row>
    <row r="227" spans="1:4" x14ac:dyDescent="0.3">
      <c r="A227" t="s">
        <v>106</v>
      </c>
      <c r="B227" t="s">
        <v>99</v>
      </c>
      <c r="C227" t="s">
        <v>64</v>
      </c>
      <c r="D227" t="s">
        <v>494</v>
      </c>
    </row>
    <row r="228" spans="1:4" x14ac:dyDescent="0.3">
      <c r="A228" t="s">
        <v>106</v>
      </c>
      <c r="B228" t="s">
        <v>99</v>
      </c>
      <c r="C228" t="s">
        <v>64</v>
      </c>
      <c r="D228" t="s">
        <v>1831</v>
      </c>
    </row>
    <row r="229" spans="1:4" x14ac:dyDescent="0.3">
      <c r="A229" t="s">
        <v>106</v>
      </c>
      <c r="B229" t="s">
        <v>99</v>
      </c>
      <c r="C229" t="s">
        <v>64</v>
      </c>
      <c r="D229" t="s">
        <v>831</v>
      </c>
    </row>
    <row r="230" spans="1:4" x14ac:dyDescent="0.3">
      <c r="A230" t="s">
        <v>106</v>
      </c>
      <c r="B230" t="s">
        <v>99</v>
      </c>
      <c r="C230" t="s">
        <v>64</v>
      </c>
      <c r="D230" t="s">
        <v>1832</v>
      </c>
    </row>
    <row r="231" spans="1:4" x14ac:dyDescent="0.3">
      <c r="A231" t="s">
        <v>106</v>
      </c>
      <c r="B231" t="s">
        <v>99</v>
      </c>
      <c r="C231" t="s">
        <v>64</v>
      </c>
      <c r="D231" t="s">
        <v>1833</v>
      </c>
    </row>
    <row r="232" spans="1:4" x14ac:dyDescent="0.3">
      <c r="A232" t="s">
        <v>106</v>
      </c>
      <c r="B232" t="s">
        <v>99</v>
      </c>
      <c r="C232" t="s">
        <v>64</v>
      </c>
      <c r="D232" t="s">
        <v>1834</v>
      </c>
    </row>
    <row r="233" spans="1:4" x14ac:dyDescent="0.3">
      <c r="A233" t="s">
        <v>106</v>
      </c>
      <c r="B233" t="s">
        <v>99</v>
      </c>
      <c r="C233" t="s">
        <v>64</v>
      </c>
      <c r="D233" t="s">
        <v>1508</v>
      </c>
    </row>
    <row r="234" spans="1:4" x14ac:dyDescent="0.3">
      <c r="A234" t="s">
        <v>106</v>
      </c>
      <c r="B234" t="s">
        <v>99</v>
      </c>
      <c r="C234" t="s">
        <v>73</v>
      </c>
      <c r="D234" t="s">
        <v>1835</v>
      </c>
    </row>
    <row r="235" spans="1:4" x14ac:dyDescent="0.3">
      <c r="A235" t="s">
        <v>106</v>
      </c>
      <c r="B235" t="s">
        <v>99</v>
      </c>
      <c r="C235" t="s">
        <v>73</v>
      </c>
      <c r="D235" t="s">
        <v>1836</v>
      </c>
    </row>
    <row r="236" spans="1:4" x14ac:dyDescent="0.3">
      <c r="A236" t="s">
        <v>106</v>
      </c>
      <c r="B236" t="s">
        <v>99</v>
      </c>
      <c r="C236" t="s">
        <v>73</v>
      </c>
      <c r="D236" t="s">
        <v>1837</v>
      </c>
    </row>
    <row r="237" spans="1:4" x14ac:dyDescent="0.3">
      <c r="A237" t="s">
        <v>106</v>
      </c>
      <c r="B237" t="s">
        <v>99</v>
      </c>
      <c r="C237" t="s">
        <v>73</v>
      </c>
      <c r="D237" t="s">
        <v>1838</v>
      </c>
    </row>
    <row r="238" spans="1:4" x14ac:dyDescent="0.3">
      <c r="A238" t="s">
        <v>106</v>
      </c>
      <c r="B238" t="s">
        <v>99</v>
      </c>
      <c r="C238" t="s">
        <v>73</v>
      </c>
      <c r="D238" t="s">
        <v>1839</v>
      </c>
    </row>
    <row r="239" spans="1:4" x14ac:dyDescent="0.3">
      <c r="A239" t="s">
        <v>106</v>
      </c>
      <c r="B239" t="s">
        <v>99</v>
      </c>
      <c r="C239" t="s">
        <v>73</v>
      </c>
      <c r="D239" t="s">
        <v>1840</v>
      </c>
    </row>
    <row r="240" spans="1:4" x14ac:dyDescent="0.3">
      <c r="A240" t="s">
        <v>106</v>
      </c>
      <c r="B240" t="s">
        <v>99</v>
      </c>
      <c r="C240" t="s">
        <v>73</v>
      </c>
      <c r="D240" t="s">
        <v>1841</v>
      </c>
    </row>
    <row r="241" spans="1:4" x14ac:dyDescent="0.3">
      <c r="A241" t="s">
        <v>106</v>
      </c>
      <c r="B241" t="s">
        <v>99</v>
      </c>
      <c r="C241" t="s">
        <v>73</v>
      </c>
      <c r="D241" t="s">
        <v>1842</v>
      </c>
    </row>
    <row r="242" spans="1:4" x14ac:dyDescent="0.3">
      <c r="A242" t="s">
        <v>106</v>
      </c>
      <c r="B242" t="s">
        <v>99</v>
      </c>
      <c r="C242" t="s">
        <v>61</v>
      </c>
      <c r="D242" t="s">
        <v>1843</v>
      </c>
    </row>
    <row r="243" spans="1:4" x14ac:dyDescent="0.3">
      <c r="A243" t="s">
        <v>106</v>
      </c>
      <c r="B243" t="s">
        <v>99</v>
      </c>
      <c r="C243" t="s">
        <v>61</v>
      </c>
      <c r="D243" t="s">
        <v>1844</v>
      </c>
    </row>
    <row r="244" spans="1:4" x14ac:dyDescent="0.3">
      <c r="A244" t="s">
        <v>106</v>
      </c>
      <c r="B244" t="s">
        <v>99</v>
      </c>
      <c r="C244" t="s">
        <v>61</v>
      </c>
      <c r="D244" t="s">
        <v>1845</v>
      </c>
    </row>
    <row r="245" spans="1:4" x14ac:dyDescent="0.3">
      <c r="A245" t="s">
        <v>106</v>
      </c>
      <c r="B245" t="s">
        <v>99</v>
      </c>
      <c r="C245" t="s">
        <v>61</v>
      </c>
      <c r="D245" t="s">
        <v>1846</v>
      </c>
    </row>
    <row r="246" spans="1:4" x14ac:dyDescent="0.3">
      <c r="A246" t="s">
        <v>106</v>
      </c>
      <c r="B246" t="s">
        <v>99</v>
      </c>
      <c r="C246" t="s">
        <v>61</v>
      </c>
      <c r="D246" t="s">
        <v>1847</v>
      </c>
    </row>
    <row r="247" spans="1:4" x14ac:dyDescent="0.3">
      <c r="A247" t="s">
        <v>106</v>
      </c>
      <c r="B247" t="s">
        <v>99</v>
      </c>
      <c r="C247" t="s">
        <v>61</v>
      </c>
      <c r="D247" t="s">
        <v>1848</v>
      </c>
    </row>
    <row r="248" spans="1:4" x14ac:dyDescent="0.3">
      <c r="A248" t="s">
        <v>106</v>
      </c>
      <c r="B248" t="s">
        <v>99</v>
      </c>
      <c r="C248" t="s">
        <v>61</v>
      </c>
      <c r="D248" t="s">
        <v>1849</v>
      </c>
    </row>
    <row r="249" spans="1:4" x14ac:dyDescent="0.3">
      <c r="A249" t="s">
        <v>106</v>
      </c>
      <c r="B249" t="s">
        <v>99</v>
      </c>
      <c r="C249" t="s">
        <v>61</v>
      </c>
      <c r="D249" t="s">
        <v>1850</v>
      </c>
    </row>
    <row r="250" spans="1:4" x14ac:dyDescent="0.3">
      <c r="A250" t="s">
        <v>106</v>
      </c>
      <c r="B250" t="s">
        <v>99</v>
      </c>
      <c r="C250" t="s">
        <v>67</v>
      </c>
      <c r="D250" t="s">
        <v>1851</v>
      </c>
    </row>
    <row r="251" spans="1:4" x14ac:dyDescent="0.3">
      <c r="A251" t="s">
        <v>106</v>
      </c>
      <c r="B251" t="s">
        <v>99</v>
      </c>
      <c r="C251" t="s">
        <v>67</v>
      </c>
      <c r="D251" t="s">
        <v>1852</v>
      </c>
    </row>
    <row r="252" spans="1:4" x14ac:dyDescent="0.3">
      <c r="A252" t="s">
        <v>106</v>
      </c>
      <c r="B252" t="s">
        <v>99</v>
      </c>
      <c r="C252" t="s">
        <v>67</v>
      </c>
      <c r="D252" t="s">
        <v>1853</v>
      </c>
    </row>
    <row r="253" spans="1:4" x14ac:dyDescent="0.3">
      <c r="A253" t="s">
        <v>106</v>
      </c>
      <c r="B253" t="s">
        <v>99</v>
      </c>
      <c r="C253" t="s">
        <v>67</v>
      </c>
      <c r="D253" t="s">
        <v>1854</v>
      </c>
    </row>
    <row r="254" spans="1:4" x14ac:dyDescent="0.3">
      <c r="A254" t="s">
        <v>106</v>
      </c>
      <c r="B254" t="s">
        <v>99</v>
      </c>
      <c r="C254" t="s">
        <v>67</v>
      </c>
      <c r="D254" t="s">
        <v>1855</v>
      </c>
    </row>
    <row r="255" spans="1:4" x14ac:dyDescent="0.3">
      <c r="A255" t="s">
        <v>106</v>
      </c>
      <c r="B255" t="s">
        <v>99</v>
      </c>
      <c r="C255" t="s">
        <v>67</v>
      </c>
      <c r="D255" t="s">
        <v>1856</v>
      </c>
    </row>
    <row r="256" spans="1:4" x14ac:dyDescent="0.3">
      <c r="A256" t="s">
        <v>106</v>
      </c>
      <c r="B256" t="s">
        <v>99</v>
      </c>
      <c r="C256" t="s">
        <v>67</v>
      </c>
      <c r="D256" t="s">
        <v>1857</v>
      </c>
    </row>
    <row r="257" spans="1:4" x14ac:dyDescent="0.3">
      <c r="A257" t="s">
        <v>106</v>
      </c>
      <c r="B257" t="s">
        <v>99</v>
      </c>
      <c r="C257" t="s">
        <v>67</v>
      </c>
      <c r="D257" t="s">
        <v>1858</v>
      </c>
    </row>
    <row r="258" spans="1:4" x14ac:dyDescent="0.3">
      <c r="A258" t="s">
        <v>106</v>
      </c>
      <c r="B258" t="s">
        <v>60</v>
      </c>
      <c r="C258" t="s">
        <v>64</v>
      </c>
      <c r="D258" t="s">
        <v>1859</v>
      </c>
    </row>
    <row r="259" spans="1:4" x14ac:dyDescent="0.3">
      <c r="A259" t="s">
        <v>106</v>
      </c>
      <c r="B259" t="s">
        <v>60</v>
      </c>
      <c r="C259" t="s">
        <v>64</v>
      </c>
      <c r="D259" t="s">
        <v>1860</v>
      </c>
    </row>
    <row r="260" spans="1:4" x14ac:dyDescent="0.3">
      <c r="A260" t="s">
        <v>106</v>
      </c>
      <c r="B260" t="s">
        <v>60</v>
      </c>
      <c r="C260" t="s">
        <v>64</v>
      </c>
      <c r="D260" t="s">
        <v>1861</v>
      </c>
    </row>
    <row r="261" spans="1:4" x14ac:dyDescent="0.3">
      <c r="A261" t="s">
        <v>106</v>
      </c>
      <c r="B261" t="s">
        <v>60</v>
      </c>
      <c r="C261" t="s">
        <v>64</v>
      </c>
      <c r="D261" t="s">
        <v>1862</v>
      </c>
    </row>
    <row r="262" spans="1:4" x14ac:dyDescent="0.3">
      <c r="A262" t="s">
        <v>106</v>
      </c>
      <c r="B262" t="s">
        <v>60</v>
      </c>
      <c r="C262" t="s">
        <v>64</v>
      </c>
      <c r="D262" t="s">
        <v>1863</v>
      </c>
    </row>
    <row r="263" spans="1:4" x14ac:dyDescent="0.3">
      <c r="A263" t="s">
        <v>106</v>
      </c>
      <c r="B263" t="s">
        <v>60</v>
      </c>
      <c r="C263" t="s">
        <v>64</v>
      </c>
      <c r="D263" t="s">
        <v>1864</v>
      </c>
    </row>
    <row r="264" spans="1:4" x14ac:dyDescent="0.3">
      <c r="A264" t="s">
        <v>106</v>
      </c>
      <c r="B264" t="s">
        <v>60</v>
      </c>
      <c r="C264" t="s">
        <v>64</v>
      </c>
      <c r="D264" t="s">
        <v>1865</v>
      </c>
    </row>
    <row r="265" spans="1:4" x14ac:dyDescent="0.3">
      <c r="A265" t="s">
        <v>106</v>
      </c>
      <c r="B265" t="s">
        <v>60</v>
      </c>
      <c r="C265" t="s">
        <v>64</v>
      </c>
      <c r="D265" t="s">
        <v>1866</v>
      </c>
    </row>
    <row r="266" spans="1:4" x14ac:dyDescent="0.3">
      <c r="A266" t="s">
        <v>106</v>
      </c>
      <c r="B266" t="s">
        <v>60</v>
      </c>
      <c r="C266" t="s">
        <v>73</v>
      </c>
      <c r="D266" t="s">
        <v>1867</v>
      </c>
    </row>
    <row r="267" spans="1:4" x14ac:dyDescent="0.3">
      <c r="A267" t="s">
        <v>106</v>
      </c>
      <c r="B267" t="s">
        <v>60</v>
      </c>
      <c r="C267" t="s">
        <v>73</v>
      </c>
      <c r="D267" t="s">
        <v>1868</v>
      </c>
    </row>
    <row r="268" spans="1:4" x14ac:dyDescent="0.3">
      <c r="A268" t="s">
        <v>106</v>
      </c>
      <c r="B268" t="s">
        <v>60</v>
      </c>
      <c r="C268" t="s">
        <v>73</v>
      </c>
      <c r="D268" t="s">
        <v>1869</v>
      </c>
    </row>
    <row r="269" spans="1:4" x14ac:dyDescent="0.3">
      <c r="A269" t="s">
        <v>106</v>
      </c>
      <c r="B269" t="s">
        <v>60</v>
      </c>
      <c r="C269" t="s">
        <v>73</v>
      </c>
      <c r="D269" t="s">
        <v>1870</v>
      </c>
    </row>
    <row r="270" spans="1:4" x14ac:dyDescent="0.3">
      <c r="A270" t="s">
        <v>106</v>
      </c>
      <c r="B270" t="s">
        <v>60</v>
      </c>
      <c r="C270" t="s">
        <v>73</v>
      </c>
      <c r="D270" t="s">
        <v>1871</v>
      </c>
    </row>
    <row r="271" spans="1:4" x14ac:dyDescent="0.3">
      <c r="A271" t="s">
        <v>106</v>
      </c>
      <c r="B271" t="s">
        <v>60</v>
      </c>
      <c r="C271" t="s">
        <v>73</v>
      </c>
      <c r="D271" t="s">
        <v>1872</v>
      </c>
    </row>
    <row r="272" spans="1:4" x14ac:dyDescent="0.3">
      <c r="A272" t="s">
        <v>106</v>
      </c>
      <c r="B272" t="s">
        <v>60</v>
      </c>
      <c r="C272" t="s">
        <v>73</v>
      </c>
      <c r="D272" t="s">
        <v>1873</v>
      </c>
    </row>
    <row r="273" spans="1:4" x14ac:dyDescent="0.3">
      <c r="A273" t="s">
        <v>106</v>
      </c>
      <c r="B273" t="s">
        <v>60</v>
      </c>
      <c r="C273" t="s">
        <v>73</v>
      </c>
      <c r="D273" t="s">
        <v>1874</v>
      </c>
    </row>
    <row r="274" spans="1:4" x14ac:dyDescent="0.3">
      <c r="A274" t="s">
        <v>106</v>
      </c>
      <c r="B274" t="s">
        <v>60</v>
      </c>
      <c r="C274" t="s">
        <v>61</v>
      </c>
      <c r="D274" t="s">
        <v>1875</v>
      </c>
    </row>
    <row r="275" spans="1:4" x14ac:dyDescent="0.3">
      <c r="A275" t="s">
        <v>106</v>
      </c>
      <c r="B275" t="s">
        <v>60</v>
      </c>
      <c r="C275" t="s">
        <v>61</v>
      </c>
      <c r="D275" t="s">
        <v>1876</v>
      </c>
    </row>
    <row r="276" spans="1:4" x14ac:dyDescent="0.3">
      <c r="A276" t="s">
        <v>106</v>
      </c>
      <c r="B276" t="s">
        <v>60</v>
      </c>
      <c r="C276" t="s">
        <v>61</v>
      </c>
      <c r="D276" t="s">
        <v>1877</v>
      </c>
    </row>
    <row r="277" spans="1:4" x14ac:dyDescent="0.3">
      <c r="A277" t="s">
        <v>106</v>
      </c>
      <c r="B277" t="s">
        <v>60</v>
      </c>
      <c r="C277" t="s">
        <v>61</v>
      </c>
      <c r="D277" t="s">
        <v>1878</v>
      </c>
    </row>
    <row r="278" spans="1:4" x14ac:dyDescent="0.3">
      <c r="A278" t="s">
        <v>106</v>
      </c>
      <c r="B278" t="s">
        <v>60</v>
      </c>
      <c r="C278" t="s">
        <v>61</v>
      </c>
      <c r="D278" t="s">
        <v>1879</v>
      </c>
    </row>
    <row r="279" spans="1:4" x14ac:dyDescent="0.3">
      <c r="A279" t="s">
        <v>106</v>
      </c>
      <c r="B279" t="s">
        <v>60</v>
      </c>
      <c r="C279" t="s">
        <v>61</v>
      </c>
      <c r="D279" t="s">
        <v>1880</v>
      </c>
    </row>
    <row r="280" spans="1:4" x14ac:dyDescent="0.3">
      <c r="A280" t="s">
        <v>106</v>
      </c>
      <c r="B280" t="s">
        <v>60</v>
      </c>
      <c r="C280" t="s">
        <v>61</v>
      </c>
      <c r="D280" t="s">
        <v>1881</v>
      </c>
    </row>
    <row r="281" spans="1:4" x14ac:dyDescent="0.3">
      <c r="A281" t="s">
        <v>106</v>
      </c>
      <c r="B281" t="s">
        <v>60</v>
      </c>
      <c r="C281" t="s">
        <v>61</v>
      </c>
      <c r="D281" t="s">
        <v>1882</v>
      </c>
    </row>
    <row r="282" spans="1:4" x14ac:dyDescent="0.3">
      <c r="A282" t="s">
        <v>106</v>
      </c>
      <c r="B282" t="s">
        <v>60</v>
      </c>
      <c r="C282" t="s">
        <v>67</v>
      </c>
      <c r="D282" t="s">
        <v>1883</v>
      </c>
    </row>
    <row r="283" spans="1:4" x14ac:dyDescent="0.3">
      <c r="A283" t="s">
        <v>106</v>
      </c>
      <c r="B283" t="s">
        <v>60</v>
      </c>
      <c r="C283" t="s">
        <v>67</v>
      </c>
      <c r="D283" t="s">
        <v>1884</v>
      </c>
    </row>
    <row r="284" spans="1:4" x14ac:dyDescent="0.3">
      <c r="A284" t="s">
        <v>106</v>
      </c>
      <c r="B284" t="s">
        <v>60</v>
      </c>
      <c r="C284" t="s">
        <v>67</v>
      </c>
      <c r="D284" t="s">
        <v>1885</v>
      </c>
    </row>
    <row r="285" spans="1:4" x14ac:dyDescent="0.3">
      <c r="A285" t="s">
        <v>106</v>
      </c>
      <c r="B285" t="s">
        <v>60</v>
      </c>
      <c r="C285" t="s">
        <v>67</v>
      </c>
      <c r="D285" t="s">
        <v>1886</v>
      </c>
    </row>
    <row r="286" spans="1:4" x14ac:dyDescent="0.3">
      <c r="A286" t="s">
        <v>106</v>
      </c>
      <c r="B286" t="s">
        <v>60</v>
      </c>
      <c r="C286" t="s">
        <v>67</v>
      </c>
      <c r="D286" t="s">
        <v>1887</v>
      </c>
    </row>
    <row r="287" spans="1:4" x14ac:dyDescent="0.3">
      <c r="A287" t="s">
        <v>106</v>
      </c>
      <c r="B287" t="s">
        <v>60</v>
      </c>
      <c r="C287" t="s">
        <v>67</v>
      </c>
      <c r="D287" t="s">
        <v>1888</v>
      </c>
    </row>
    <row r="288" spans="1:4" x14ac:dyDescent="0.3">
      <c r="A288" t="s">
        <v>106</v>
      </c>
      <c r="B288" t="s">
        <v>60</v>
      </c>
      <c r="C288" t="s">
        <v>67</v>
      </c>
      <c r="D288" t="s">
        <v>1889</v>
      </c>
    </row>
    <row r="289" spans="1:4" x14ac:dyDescent="0.3">
      <c r="A289" t="s">
        <v>106</v>
      </c>
      <c r="B289" t="s">
        <v>60</v>
      </c>
      <c r="C289" t="s">
        <v>67</v>
      </c>
      <c r="D289" t="s">
        <v>1890</v>
      </c>
    </row>
    <row r="290" spans="1:4" x14ac:dyDescent="0.3">
      <c r="A290" t="s">
        <v>106</v>
      </c>
      <c r="B290" t="s">
        <v>469</v>
      </c>
      <c r="C290" t="s">
        <v>64</v>
      </c>
      <c r="D290" t="s">
        <v>1891</v>
      </c>
    </row>
    <row r="291" spans="1:4" x14ac:dyDescent="0.3">
      <c r="A291" t="s">
        <v>106</v>
      </c>
      <c r="B291" t="s">
        <v>469</v>
      </c>
      <c r="C291" t="s">
        <v>64</v>
      </c>
      <c r="D291" t="s">
        <v>1892</v>
      </c>
    </row>
    <row r="292" spans="1:4" x14ac:dyDescent="0.3">
      <c r="A292" t="s">
        <v>106</v>
      </c>
      <c r="B292" t="s">
        <v>469</v>
      </c>
      <c r="C292" t="s">
        <v>64</v>
      </c>
      <c r="D292" t="s">
        <v>1893</v>
      </c>
    </row>
    <row r="293" spans="1:4" x14ac:dyDescent="0.3">
      <c r="A293" t="s">
        <v>106</v>
      </c>
      <c r="B293" t="s">
        <v>469</v>
      </c>
      <c r="C293" t="s">
        <v>64</v>
      </c>
      <c r="D293" t="s">
        <v>1894</v>
      </c>
    </row>
    <row r="294" spans="1:4" x14ac:dyDescent="0.3">
      <c r="A294" t="s">
        <v>106</v>
      </c>
      <c r="B294" t="s">
        <v>469</v>
      </c>
      <c r="C294" t="s">
        <v>64</v>
      </c>
      <c r="D294" t="s">
        <v>1895</v>
      </c>
    </row>
    <row r="295" spans="1:4" x14ac:dyDescent="0.3">
      <c r="A295" t="s">
        <v>106</v>
      </c>
      <c r="B295" t="s">
        <v>469</v>
      </c>
      <c r="C295" t="s">
        <v>64</v>
      </c>
      <c r="D295" t="s">
        <v>1896</v>
      </c>
    </row>
    <row r="296" spans="1:4" x14ac:dyDescent="0.3">
      <c r="A296" t="s">
        <v>106</v>
      </c>
      <c r="B296" t="s">
        <v>469</v>
      </c>
      <c r="C296" t="s">
        <v>64</v>
      </c>
      <c r="D296" t="s">
        <v>1897</v>
      </c>
    </row>
    <row r="297" spans="1:4" x14ac:dyDescent="0.3">
      <c r="A297" t="s">
        <v>106</v>
      </c>
      <c r="B297" t="s">
        <v>469</v>
      </c>
      <c r="C297" t="s">
        <v>64</v>
      </c>
      <c r="D297" t="s">
        <v>1898</v>
      </c>
    </row>
    <row r="298" spans="1:4" x14ac:dyDescent="0.3">
      <c r="A298" t="s">
        <v>106</v>
      </c>
      <c r="B298" t="s">
        <v>469</v>
      </c>
      <c r="C298" t="s">
        <v>73</v>
      </c>
      <c r="D298" t="s">
        <v>1899</v>
      </c>
    </row>
    <row r="299" spans="1:4" x14ac:dyDescent="0.3">
      <c r="A299" t="s">
        <v>106</v>
      </c>
      <c r="B299" t="s">
        <v>469</v>
      </c>
      <c r="C299" t="s">
        <v>73</v>
      </c>
      <c r="D299" t="s">
        <v>1900</v>
      </c>
    </row>
    <row r="300" spans="1:4" x14ac:dyDescent="0.3">
      <c r="A300" t="s">
        <v>106</v>
      </c>
      <c r="B300" t="s">
        <v>469</v>
      </c>
      <c r="C300" t="s">
        <v>73</v>
      </c>
      <c r="D300" t="s">
        <v>1901</v>
      </c>
    </row>
    <row r="301" spans="1:4" x14ac:dyDescent="0.3">
      <c r="A301" t="s">
        <v>106</v>
      </c>
      <c r="B301" t="s">
        <v>469</v>
      </c>
      <c r="C301" t="s">
        <v>73</v>
      </c>
      <c r="D301" t="s">
        <v>1902</v>
      </c>
    </row>
    <row r="302" spans="1:4" x14ac:dyDescent="0.3">
      <c r="A302" t="s">
        <v>106</v>
      </c>
      <c r="B302" t="s">
        <v>469</v>
      </c>
      <c r="C302" t="s">
        <v>73</v>
      </c>
      <c r="D302" t="s">
        <v>1903</v>
      </c>
    </row>
    <row r="303" spans="1:4" x14ac:dyDescent="0.3">
      <c r="A303" t="s">
        <v>106</v>
      </c>
      <c r="B303" t="s">
        <v>469</v>
      </c>
      <c r="C303" t="s">
        <v>73</v>
      </c>
      <c r="D303" t="s">
        <v>1904</v>
      </c>
    </row>
    <row r="304" spans="1:4" x14ac:dyDescent="0.3">
      <c r="A304" t="s">
        <v>106</v>
      </c>
      <c r="B304" t="s">
        <v>469</v>
      </c>
      <c r="C304" t="s">
        <v>73</v>
      </c>
      <c r="D304" t="s">
        <v>1905</v>
      </c>
    </row>
    <row r="305" spans="1:4" x14ac:dyDescent="0.3">
      <c r="A305" t="s">
        <v>106</v>
      </c>
      <c r="B305" t="s">
        <v>469</v>
      </c>
      <c r="C305" t="s">
        <v>73</v>
      </c>
      <c r="D305" t="s">
        <v>1906</v>
      </c>
    </row>
    <row r="306" spans="1:4" x14ac:dyDescent="0.3">
      <c r="A306" t="s">
        <v>106</v>
      </c>
      <c r="B306" t="s">
        <v>469</v>
      </c>
      <c r="C306" t="s">
        <v>61</v>
      </c>
      <c r="D306" t="s">
        <v>1907</v>
      </c>
    </row>
    <row r="307" spans="1:4" x14ac:dyDescent="0.3">
      <c r="A307" t="s">
        <v>106</v>
      </c>
      <c r="B307" t="s">
        <v>469</v>
      </c>
      <c r="C307" t="s">
        <v>61</v>
      </c>
      <c r="D307" t="s">
        <v>1908</v>
      </c>
    </row>
    <row r="308" spans="1:4" x14ac:dyDescent="0.3">
      <c r="A308" t="s">
        <v>106</v>
      </c>
      <c r="B308" t="s">
        <v>469</v>
      </c>
      <c r="C308" t="s">
        <v>61</v>
      </c>
      <c r="D308" t="s">
        <v>1909</v>
      </c>
    </row>
    <row r="309" spans="1:4" x14ac:dyDescent="0.3">
      <c r="A309" t="s">
        <v>106</v>
      </c>
      <c r="B309" t="s">
        <v>469</v>
      </c>
      <c r="C309" t="s">
        <v>61</v>
      </c>
      <c r="D309" t="s">
        <v>1910</v>
      </c>
    </row>
    <row r="310" spans="1:4" x14ac:dyDescent="0.3">
      <c r="A310" t="s">
        <v>106</v>
      </c>
      <c r="B310" t="s">
        <v>469</v>
      </c>
      <c r="C310" t="s">
        <v>61</v>
      </c>
      <c r="D310" t="s">
        <v>1911</v>
      </c>
    </row>
    <row r="311" spans="1:4" x14ac:dyDescent="0.3">
      <c r="A311" t="s">
        <v>106</v>
      </c>
      <c r="B311" t="s">
        <v>469</v>
      </c>
      <c r="C311" t="s">
        <v>61</v>
      </c>
      <c r="D311" t="s">
        <v>1912</v>
      </c>
    </row>
    <row r="312" spans="1:4" x14ac:dyDescent="0.3">
      <c r="A312" t="s">
        <v>106</v>
      </c>
      <c r="B312" t="s">
        <v>469</v>
      </c>
      <c r="C312" t="s">
        <v>61</v>
      </c>
      <c r="D312" t="s">
        <v>1913</v>
      </c>
    </row>
    <row r="313" spans="1:4" x14ac:dyDescent="0.3">
      <c r="A313" t="s">
        <v>106</v>
      </c>
      <c r="B313" t="s">
        <v>469</v>
      </c>
      <c r="C313" t="s">
        <v>61</v>
      </c>
      <c r="D313" t="s">
        <v>1914</v>
      </c>
    </row>
    <row r="314" spans="1:4" x14ac:dyDescent="0.3">
      <c r="A314" t="s">
        <v>106</v>
      </c>
      <c r="B314" t="s">
        <v>469</v>
      </c>
      <c r="C314" t="s">
        <v>67</v>
      </c>
      <c r="D314" t="s">
        <v>1915</v>
      </c>
    </row>
    <row r="315" spans="1:4" x14ac:dyDescent="0.3">
      <c r="A315" t="s">
        <v>106</v>
      </c>
      <c r="B315" t="s">
        <v>469</v>
      </c>
      <c r="C315" t="s">
        <v>67</v>
      </c>
      <c r="D315" t="s">
        <v>1916</v>
      </c>
    </row>
    <row r="316" spans="1:4" x14ac:dyDescent="0.3">
      <c r="A316" t="s">
        <v>106</v>
      </c>
      <c r="B316" t="s">
        <v>469</v>
      </c>
      <c r="C316" t="s">
        <v>67</v>
      </c>
      <c r="D316" t="s">
        <v>1917</v>
      </c>
    </row>
    <row r="317" spans="1:4" x14ac:dyDescent="0.3">
      <c r="A317" t="s">
        <v>106</v>
      </c>
      <c r="B317" t="s">
        <v>469</v>
      </c>
      <c r="C317" t="s">
        <v>67</v>
      </c>
      <c r="D317" t="s">
        <v>1918</v>
      </c>
    </row>
    <row r="318" spans="1:4" x14ac:dyDescent="0.3">
      <c r="A318" t="s">
        <v>106</v>
      </c>
      <c r="B318" t="s">
        <v>469</v>
      </c>
      <c r="C318" t="s">
        <v>67</v>
      </c>
      <c r="D318" t="s">
        <v>1919</v>
      </c>
    </row>
    <row r="319" spans="1:4" x14ac:dyDescent="0.3">
      <c r="A319" t="s">
        <v>106</v>
      </c>
      <c r="B319" t="s">
        <v>469</v>
      </c>
      <c r="C319" t="s">
        <v>67</v>
      </c>
      <c r="D319" t="s">
        <v>1920</v>
      </c>
    </row>
    <row r="320" spans="1:4" x14ac:dyDescent="0.3">
      <c r="A320" t="s">
        <v>106</v>
      </c>
      <c r="B320" t="s">
        <v>469</v>
      </c>
      <c r="C320" t="s">
        <v>67</v>
      </c>
      <c r="D320" t="s">
        <v>1921</v>
      </c>
    </row>
    <row r="321" spans="1:4" x14ac:dyDescent="0.3">
      <c r="A321" t="s">
        <v>106</v>
      </c>
      <c r="B321" t="s">
        <v>469</v>
      </c>
      <c r="C321" t="s">
        <v>67</v>
      </c>
      <c r="D321" t="s">
        <v>1767</v>
      </c>
    </row>
    <row r="322" spans="1:4" x14ac:dyDescent="0.3">
      <c r="A322" t="s">
        <v>106</v>
      </c>
      <c r="B322" t="s">
        <v>642</v>
      </c>
      <c r="C322" t="s">
        <v>64</v>
      </c>
      <c r="D322" t="s">
        <v>1922</v>
      </c>
    </row>
    <row r="323" spans="1:4" x14ac:dyDescent="0.3">
      <c r="A323" t="s">
        <v>106</v>
      </c>
      <c r="B323" t="s">
        <v>642</v>
      </c>
      <c r="C323" t="s">
        <v>64</v>
      </c>
      <c r="D323" t="s">
        <v>1923</v>
      </c>
    </row>
    <row r="324" spans="1:4" x14ac:dyDescent="0.3">
      <c r="A324" t="s">
        <v>106</v>
      </c>
      <c r="B324" t="s">
        <v>642</v>
      </c>
      <c r="C324" t="s">
        <v>64</v>
      </c>
      <c r="D324" t="s">
        <v>1924</v>
      </c>
    </row>
    <row r="325" spans="1:4" x14ac:dyDescent="0.3">
      <c r="A325" t="s">
        <v>106</v>
      </c>
      <c r="B325" t="s">
        <v>642</v>
      </c>
      <c r="C325" t="s">
        <v>64</v>
      </c>
      <c r="D325" t="s">
        <v>1925</v>
      </c>
    </row>
    <row r="326" spans="1:4" x14ac:dyDescent="0.3">
      <c r="A326" t="s">
        <v>106</v>
      </c>
      <c r="B326" t="s">
        <v>642</v>
      </c>
      <c r="C326" t="s">
        <v>64</v>
      </c>
      <c r="D326" t="s">
        <v>1000</v>
      </c>
    </row>
    <row r="327" spans="1:4" x14ac:dyDescent="0.3">
      <c r="A327" t="s">
        <v>106</v>
      </c>
      <c r="B327" t="s">
        <v>642</v>
      </c>
      <c r="C327" t="s">
        <v>64</v>
      </c>
      <c r="D327" t="s">
        <v>1926</v>
      </c>
    </row>
    <row r="328" spans="1:4" x14ac:dyDescent="0.3">
      <c r="A328" t="s">
        <v>106</v>
      </c>
      <c r="B328" t="s">
        <v>642</v>
      </c>
      <c r="C328" t="s">
        <v>64</v>
      </c>
      <c r="D328" t="s">
        <v>1927</v>
      </c>
    </row>
    <row r="329" spans="1:4" x14ac:dyDescent="0.3">
      <c r="A329" t="s">
        <v>106</v>
      </c>
      <c r="B329" t="s">
        <v>642</v>
      </c>
      <c r="C329" t="s">
        <v>64</v>
      </c>
      <c r="D329" t="s">
        <v>1512</v>
      </c>
    </row>
    <row r="330" spans="1:4" x14ac:dyDescent="0.3">
      <c r="A330" t="s">
        <v>106</v>
      </c>
      <c r="B330" t="s">
        <v>642</v>
      </c>
      <c r="C330" t="s">
        <v>73</v>
      </c>
      <c r="D330" t="s">
        <v>1928</v>
      </c>
    </row>
    <row r="331" spans="1:4" x14ac:dyDescent="0.3">
      <c r="A331" t="s">
        <v>106</v>
      </c>
      <c r="B331" t="s">
        <v>642</v>
      </c>
      <c r="C331" t="s">
        <v>73</v>
      </c>
      <c r="D331" t="s">
        <v>1929</v>
      </c>
    </row>
    <row r="332" spans="1:4" x14ac:dyDescent="0.3">
      <c r="A332" t="s">
        <v>106</v>
      </c>
      <c r="B332" t="s">
        <v>642</v>
      </c>
      <c r="C332" t="s">
        <v>73</v>
      </c>
      <c r="D332" t="s">
        <v>1930</v>
      </c>
    </row>
    <row r="333" spans="1:4" x14ac:dyDescent="0.3">
      <c r="A333" t="s">
        <v>106</v>
      </c>
      <c r="B333" t="s">
        <v>642</v>
      </c>
      <c r="C333" t="s">
        <v>73</v>
      </c>
      <c r="D333" t="s">
        <v>1931</v>
      </c>
    </row>
    <row r="334" spans="1:4" x14ac:dyDescent="0.3">
      <c r="A334" t="s">
        <v>106</v>
      </c>
      <c r="B334" t="s">
        <v>642</v>
      </c>
      <c r="C334" t="s">
        <v>73</v>
      </c>
      <c r="D334" t="s">
        <v>1006</v>
      </c>
    </row>
    <row r="335" spans="1:4" x14ac:dyDescent="0.3">
      <c r="A335" t="s">
        <v>106</v>
      </c>
      <c r="B335" t="s">
        <v>642</v>
      </c>
      <c r="C335" t="s">
        <v>73</v>
      </c>
      <c r="D335" t="s">
        <v>1932</v>
      </c>
    </row>
    <row r="336" spans="1:4" x14ac:dyDescent="0.3">
      <c r="A336" t="s">
        <v>106</v>
      </c>
      <c r="B336" t="s">
        <v>642</v>
      </c>
      <c r="C336" t="s">
        <v>73</v>
      </c>
      <c r="D336" t="s">
        <v>1933</v>
      </c>
    </row>
    <row r="337" spans="1:4" x14ac:dyDescent="0.3">
      <c r="A337" t="s">
        <v>106</v>
      </c>
      <c r="B337" t="s">
        <v>642</v>
      </c>
      <c r="C337" t="s">
        <v>73</v>
      </c>
      <c r="D337" t="s">
        <v>1934</v>
      </c>
    </row>
    <row r="338" spans="1:4" x14ac:dyDescent="0.3">
      <c r="A338" t="s">
        <v>106</v>
      </c>
      <c r="B338" t="s">
        <v>642</v>
      </c>
      <c r="C338" t="s">
        <v>61</v>
      </c>
      <c r="D338" t="s">
        <v>1935</v>
      </c>
    </row>
    <row r="339" spans="1:4" x14ac:dyDescent="0.3">
      <c r="A339" t="s">
        <v>106</v>
      </c>
      <c r="B339" t="s">
        <v>642</v>
      </c>
      <c r="C339" t="s">
        <v>61</v>
      </c>
      <c r="D339" t="s">
        <v>1936</v>
      </c>
    </row>
    <row r="340" spans="1:4" x14ac:dyDescent="0.3">
      <c r="A340" t="s">
        <v>106</v>
      </c>
      <c r="B340" t="s">
        <v>642</v>
      </c>
      <c r="C340" t="s">
        <v>61</v>
      </c>
      <c r="D340" t="s">
        <v>1937</v>
      </c>
    </row>
    <row r="341" spans="1:4" x14ac:dyDescent="0.3">
      <c r="A341" t="s">
        <v>106</v>
      </c>
      <c r="B341" t="s">
        <v>642</v>
      </c>
      <c r="C341" t="s">
        <v>61</v>
      </c>
      <c r="D341" t="s">
        <v>1938</v>
      </c>
    </row>
    <row r="342" spans="1:4" x14ac:dyDescent="0.3">
      <c r="A342" t="s">
        <v>106</v>
      </c>
      <c r="B342" t="s">
        <v>642</v>
      </c>
      <c r="C342" t="s">
        <v>61</v>
      </c>
      <c r="D342" t="s">
        <v>1012</v>
      </c>
    </row>
    <row r="343" spans="1:4" x14ac:dyDescent="0.3">
      <c r="A343" t="s">
        <v>106</v>
      </c>
      <c r="B343" t="s">
        <v>642</v>
      </c>
      <c r="C343" t="s">
        <v>61</v>
      </c>
      <c r="D343" t="s">
        <v>1939</v>
      </c>
    </row>
    <row r="344" spans="1:4" x14ac:dyDescent="0.3">
      <c r="A344" t="s">
        <v>106</v>
      </c>
      <c r="B344" t="s">
        <v>642</v>
      </c>
      <c r="C344" t="s">
        <v>61</v>
      </c>
      <c r="D344" t="s">
        <v>1940</v>
      </c>
    </row>
    <row r="345" spans="1:4" x14ac:dyDescent="0.3">
      <c r="A345" t="s">
        <v>106</v>
      </c>
      <c r="B345" t="s">
        <v>642</v>
      </c>
      <c r="C345" t="s">
        <v>61</v>
      </c>
      <c r="D345" t="s">
        <v>1941</v>
      </c>
    </row>
    <row r="346" spans="1:4" x14ac:dyDescent="0.3">
      <c r="A346" t="s">
        <v>106</v>
      </c>
      <c r="B346" t="s">
        <v>642</v>
      </c>
      <c r="C346" t="s">
        <v>67</v>
      </c>
      <c r="D346" t="s">
        <v>1942</v>
      </c>
    </row>
    <row r="347" spans="1:4" x14ac:dyDescent="0.3">
      <c r="A347" t="s">
        <v>106</v>
      </c>
      <c r="B347" t="s">
        <v>642</v>
      </c>
      <c r="C347" t="s">
        <v>67</v>
      </c>
      <c r="D347" t="s">
        <v>1943</v>
      </c>
    </row>
    <row r="348" spans="1:4" x14ac:dyDescent="0.3">
      <c r="A348" t="s">
        <v>106</v>
      </c>
      <c r="B348" t="s">
        <v>642</v>
      </c>
      <c r="C348" t="s">
        <v>67</v>
      </c>
      <c r="D348" t="s">
        <v>689</v>
      </c>
    </row>
    <row r="349" spans="1:4" x14ac:dyDescent="0.3">
      <c r="A349" t="s">
        <v>106</v>
      </c>
      <c r="B349" t="s">
        <v>642</v>
      </c>
      <c r="C349" t="s">
        <v>67</v>
      </c>
      <c r="D349" t="s">
        <v>1944</v>
      </c>
    </row>
    <row r="350" spans="1:4" x14ac:dyDescent="0.3">
      <c r="A350" t="s">
        <v>106</v>
      </c>
      <c r="B350" t="s">
        <v>642</v>
      </c>
      <c r="C350" t="s">
        <v>67</v>
      </c>
      <c r="D350" t="s">
        <v>1017</v>
      </c>
    </row>
    <row r="351" spans="1:4" x14ac:dyDescent="0.3">
      <c r="A351" t="s">
        <v>106</v>
      </c>
      <c r="B351" t="s">
        <v>642</v>
      </c>
      <c r="C351" t="s">
        <v>67</v>
      </c>
      <c r="D351" t="s">
        <v>1945</v>
      </c>
    </row>
    <row r="352" spans="1:4" x14ac:dyDescent="0.3">
      <c r="A352" t="s">
        <v>106</v>
      </c>
      <c r="B352" t="s">
        <v>642</v>
      </c>
      <c r="C352" t="s">
        <v>67</v>
      </c>
      <c r="D352" t="s">
        <v>1946</v>
      </c>
    </row>
    <row r="353" spans="1:4" x14ac:dyDescent="0.3">
      <c r="A353" t="s">
        <v>106</v>
      </c>
      <c r="B353" t="s">
        <v>642</v>
      </c>
      <c r="C353" t="s">
        <v>67</v>
      </c>
      <c r="D353" t="s">
        <v>1947</v>
      </c>
    </row>
    <row r="354" spans="1:4" x14ac:dyDescent="0.3">
      <c r="A354" t="s">
        <v>106</v>
      </c>
      <c r="B354" t="s">
        <v>101</v>
      </c>
      <c r="C354" t="s">
        <v>64</v>
      </c>
      <c r="D354" t="s">
        <v>330</v>
      </c>
    </row>
    <row r="355" spans="1:4" x14ac:dyDescent="0.3">
      <c r="A355" t="s">
        <v>106</v>
      </c>
      <c r="B355" t="s">
        <v>101</v>
      </c>
      <c r="C355" t="s">
        <v>64</v>
      </c>
      <c r="D355" t="s">
        <v>496</v>
      </c>
    </row>
    <row r="356" spans="1:4" x14ac:dyDescent="0.3">
      <c r="A356" t="s">
        <v>106</v>
      </c>
      <c r="B356" t="s">
        <v>101</v>
      </c>
      <c r="C356" t="s">
        <v>64</v>
      </c>
      <c r="D356" t="s">
        <v>669</v>
      </c>
    </row>
    <row r="357" spans="1:4" x14ac:dyDescent="0.3">
      <c r="A357" t="s">
        <v>106</v>
      </c>
      <c r="B357" t="s">
        <v>101</v>
      </c>
      <c r="C357" t="s">
        <v>64</v>
      </c>
      <c r="D357" t="s">
        <v>833</v>
      </c>
    </row>
    <row r="358" spans="1:4" x14ac:dyDescent="0.3">
      <c r="A358" t="s">
        <v>106</v>
      </c>
      <c r="B358" t="s">
        <v>101</v>
      </c>
      <c r="C358" t="s">
        <v>64</v>
      </c>
      <c r="D358" t="s">
        <v>998</v>
      </c>
    </row>
    <row r="359" spans="1:4" x14ac:dyDescent="0.3">
      <c r="A359" t="s">
        <v>106</v>
      </c>
      <c r="B359" t="s">
        <v>101</v>
      </c>
      <c r="C359" t="s">
        <v>64</v>
      </c>
      <c r="D359" t="s">
        <v>1167</v>
      </c>
    </row>
    <row r="360" spans="1:4" x14ac:dyDescent="0.3">
      <c r="A360" t="s">
        <v>106</v>
      </c>
      <c r="B360" t="s">
        <v>101</v>
      </c>
      <c r="C360" t="s">
        <v>64</v>
      </c>
      <c r="D360" t="s">
        <v>1338</v>
      </c>
    </row>
    <row r="361" spans="1:4" x14ac:dyDescent="0.3">
      <c r="A361" t="s">
        <v>106</v>
      </c>
      <c r="B361" t="s">
        <v>101</v>
      </c>
      <c r="C361" t="s">
        <v>64</v>
      </c>
      <c r="D361" t="s">
        <v>1510</v>
      </c>
    </row>
    <row r="362" spans="1:4" x14ac:dyDescent="0.3">
      <c r="A362" t="s">
        <v>106</v>
      </c>
      <c r="B362" t="s">
        <v>101</v>
      </c>
      <c r="C362" t="s">
        <v>73</v>
      </c>
      <c r="D362" t="s">
        <v>336</v>
      </c>
    </row>
    <row r="363" spans="1:4" x14ac:dyDescent="0.3">
      <c r="A363" t="s">
        <v>106</v>
      </c>
      <c r="B363" t="s">
        <v>101</v>
      </c>
      <c r="C363" t="s">
        <v>73</v>
      </c>
      <c r="D363" t="s">
        <v>502</v>
      </c>
    </row>
    <row r="364" spans="1:4" x14ac:dyDescent="0.3">
      <c r="A364" t="s">
        <v>106</v>
      </c>
      <c r="B364" t="s">
        <v>101</v>
      </c>
      <c r="C364" t="s">
        <v>73</v>
      </c>
      <c r="D364" t="s">
        <v>675</v>
      </c>
    </row>
    <row r="365" spans="1:4" x14ac:dyDescent="0.3">
      <c r="A365" t="s">
        <v>106</v>
      </c>
      <c r="B365" t="s">
        <v>101</v>
      </c>
      <c r="C365" t="s">
        <v>73</v>
      </c>
      <c r="D365" t="s">
        <v>839</v>
      </c>
    </row>
    <row r="366" spans="1:4" x14ac:dyDescent="0.3">
      <c r="A366" t="s">
        <v>106</v>
      </c>
      <c r="B366" t="s">
        <v>101</v>
      </c>
      <c r="C366" t="s">
        <v>73</v>
      </c>
      <c r="D366" t="s">
        <v>1004</v>
      </c>
    </row>
    <row r="367" spans="1:4" x14ac:dyDescent="0.3">
      <c r="A367" t="s">
        <v>106</v>
      </c>
      <c r="B367" t="s">
        <v>101</v>
      </c>
      <c r="C367" t="s">
        <v>73</v>
      </c>
      <c r="D367" t="s">
        <v>1173</v>
      </c>
    </row>
    <row r="368" spans="1:4" x14ac:dyDescent="0.3">
      <c r="A368" t="s">
        <v>106</v>
      </c>
      <c r="B368" t="s">
        <v>101</v>
      </c>
      <c r="C368" t="s">
        <v>73</v>
      </c>
      <c r="D368" t="s">
        <v>1344</v>
      </c>
    </row>
    <row r="369" spans="1:4" x14ac:dyDescent="0.3">
      <c r="A369" t="s">
        <v>106</v>
      </c>
      <c r="B369" t="s">
        <v>101</v>
      </c>
      <c r="C369" t="s">
        <v>73</v>
      </c>
      <c r="D369" t="s">
        <v>1948</v>
      </c>
    </row>
    <row r="370" spans="1:4" x14ac:dyDescent="0.3">
      <c r="A370" t="s">
        <v>106</v>
      </c>
      <c r="B370" t="s">
        <v>101</v>
      </c>
      <c r="C370" t="s">
        <v>61</v>
      </c>
      <c r="D370" t="s">
        <v>342</v>
      </c>
    </row>
    <row r="371" spans="1:4" x14ac:dyDescent="0.3">
      <c r="A371" t="s">
        <v>106</v>
      </c>
      <c r="B371" t="s">
        <v>101</v>
      </c>
      <c r="C371" t="s">
        <v>61</v>
      </c>
      <c r="D371" t="s">
        <v>1949</v>
      </c>
    </row>
    <row r="372" spans="1:4" x14ac:dyDescent="0.3">
      <c r="A372" t="s">
        <v>106</v>
      </c>
      <c r="B372" t="s">
        <v>101</v>
      </c>
      <c r="C372" t="s">
        <v>61</v>
      </c>
      <c r="D372" t="s">
        <v>681</v>
      </c>
    </row>
    <row r="373" spans="1:4" x14ac:dyDescent="0.3">
      <c r="A373" t="s">
        <v>106</v>
      </c>
      <c r="B373" t="s">
        <v>101</v>
      </c>
      <c r="C373" t="s">
        <v>61</v>
      </c>
      <c r="D373" t="s">
        <v>843</v>
      </c>
    </row>
    <row r="374" spans="1:4" x14ac:dyDescent="0.3">
      <c r="A374" t="s">
        <v>106</v>
      </c>
      <c r="B374" t="s">
        <v>101</v>
      </c>
      <c r="C374" t="s">
        <v>61</v>
      </c>
      <c r="D374" t="s">
        <v>1950</v>
      </c>
    </row>
    <row r="375" spans="1:4" x14ac:dyDescent="0.3">
      <c r="A375" t="s">
        <v>106</v>
      </c>
      <c r="B375" t="s">
        <v>101</v>
      </c>
      <c r="C375" t="s">
        <v>61</v>
      </c>
      <c r="D375" t="s">
        <v>1951</v>
      </c>
    </row>
    <row r="376" spans="1:4" x14ac:dyDescent="0.3">
      <c r="A376" t="s">
        <v>106</v>
      </c>
      <c r="B376" t="s">
        <v>101</v>
      </c>
      <c r="C376" t="s">
        <v>61</v>
      </c>
      <c r="D376" t="s">
        <v>1350</v>
      </c>
    </row>
    <row r="377" spans="1:4" x14ac:dyDescent="0.3">
      <c r="A377" t="s">
        <v>106</v>
      </c>
      <c r="B377" t="s">
        <v>101</v>
      </c>
      <c r="C377" t="s">
        <v>61</v>
      </c>
      <c r="D377" t="s">
        <v>1952</v>
      </c>
    </row>
    <row r="378" spans="1:4" x14ac:dyDescent="0.3">
      <c r="A378" t="s">
        <v>106</v>
      </c>
      <c r="B378" t="s">
        <v>101</v>
      </c>
      <c r="C378" t="s">
        <v>67</v>
      </c>
      <c r="D378" t="s">
        <v>1953</v>
      </c>
    </row>
    <row r="379" spans="1:4" x14ac:dyDescent="0.3">
      <c r="A379" t="s">
        <v>106</v>
      </c>
      <c r="B379" t="s">
        <v>101</v>
      </c>
      <c r="C379" t="s">
        <v>67</v>
      </c>
      <c r="D379" t="s">
        <v>514</v>
      </c>
    </row>
    <row r="380" spans="1:4" x14ac:dyDescent="0.3">
      <c r="A380" t="s">
        <v>106</v>
      </c>
      <c r="B380" t="s">
        <v>101</v>
      </c>
      <c r="C380" t="s">
        <v>67</v>
      </c>
      <c r="D380" t="s">
        <v>1954</v>
      </c>
    </row>
    <row r="381" spans="1:4" x14ac:dyDescent="0.3">
      <c r="A381" t="s">
        <v>106</v>
      </c>
      <c r="B381" t="s">
        <v>101</v>
      </c>
      <c r="C381" t="s">
        <v>67</v>
      </c>
      <c r="D381" t="s">
        <v>848</v>
      </c>
    </row>
    <row r="382" spans="1:4" x14ac:dyDescent="0.3">
      <c r="A382" t="s">
        <v>106</v>
      </c>
      <c r="B382" t="s">
        <v>101</v>
      </c>
      <c r="C382" t="s">
        <v>67</v>
      </c>
      <c r="D382" t="s">
        <v>1955</v>
      </c>
    </row>
    <row r="383" spans="1:4" x14ac:dyDescent="0.3">
      <c r="A383" t="s">
        <v>106</v>
      </c>
      <c r="B383" t="s">
        <v>101</v>
      </c>
      <c r="C383" t="s">
        <v>67</v>
      </c>
      <c r="D383" t="s">
        <v>1956</v>
      </c>
    </row>
    <row r="384" spans="1:4" x14ac:dyDescent="0.3">
      <c r="A384" t="s">
        <v>106</v>
      </c>
      <c r="B384" t="s">
        <v>101</v>
      </c>
      <c r="C384" t="s">
        <v>67</v>
      </c>
      <c r="D384" t="s">
        <v>1356</v>
      </c>
    </row>
    <row r="385" spans="1:4" x14ac:dyDescent="0.3">
      <c r="A385" t="s">
        <v>106</v>
      </c>
      <c r="B385" t="s">
        <v>101</v>
      </c>
      <c r="C385" t="s">
        <v>67</v>
      </c>
      <c r="D385" t="s">
        <v>1957</v>
      </c>
    </row>
    <row r="386" spans="1:4" x14ac:dyDescent="0.3">
      <c r="A386" t="s">
        <v>112</v>
      </c>
      <c r="B386" t="s">
        <v>100</v>
      </c>
      <c r="C386" t="s">
        <v>64</v>
      </c>
      <c r="D386" t="s">
        <v>78</v>
      </c>
    </row>
    <row r="387" spans="1:4" x14ac:dyDescent="0.3">
      <c r="A387" t="s">
        <v>112</v>
      </c>
      <c r="B387" t="s">
        <v>100</v>
      </c>
      <c r="C387" t="s">
        <v>64</v>
      </c>
      <c r="D387" t="s">
        <v>518</v>
      </c>
    </row>
    <row r="388" spans="1:4" x14ac:dyDescent="0.3">
      <c r="A388" t="s">
        <v>112</v>
      </c>
      <c r="B388" t="s">
        <v>100</v>
      </c>
      <c r="C388" t="s">
        <v>64</v>
      </c>
      <c r="D388" t="s">
        <v>691</v>
      </c>
    </row>
    <row r="389" spans="1:4" x14ac:dyDescent="0.3">
      <c r="A389" t="s">
        <v>112</v>
      </c>
      <c r="B389" t="s">
        <v>100</v>
      </c>
      <c r="C389" t="s">
        <v>64</v>
      </c>
      <c r="D389" t="s">
        <v>852</v>
      </c>
    </row>
    <row r="390" spans="1:4" x14ac:dyDescent="0.3">
      <c r="A390" t="s">
        <v>112</v>
      </c>
      <c r="B390" t="s">
        <v>100</v>
      </c>
      <c r="C390" t="s">
        <v>64</v>
      </c>
      <c r="D390" t="s">
        <v>1019</v>
      </c>
    </row>
    <row r="391" spans="1:4" x14ac:dyDescent="0.3">
      <c r="A391" t="s">
        <v>112</v>
      </c>
      <c r="B391" t="s">
        <v>100</v>
      </c>
      <c r="C391" t="s">
        <v>64</v>
      </c>
      <c r="D391" t="s">
        <v>1189</v>
      </c>
    </row>
    <row r="392" spans="1:4" x14ac:dyDescent="0.3">
      <c r="A392" t="s">
        <v>112</v>
      </c>
      <c r="B392" t="s">
        <v>100</v>
      </c>
      <c r="C392" t="s">
        <v>64</v>
      </c>
      <c r="D392" t="s">
        <v>1360</v>
      </c>
    </row>
    <row r="393" spans="1:4" x14ac:dyDescent="0.3">
      <c r="A393" t="s">
        <v>112</v>
      </c>
      <c r="B393" t="s">
        <v>100</v>
      </c>
      <c r="C393" t="s">
        <v>64</v>
      </c>
      <c r="D393" t="s">
        <v>1531</v>
      </c>
    </row>
    <row r="394" spans="1:4" x14ac:dyDescent="0.3">
      <c r="A394" t="s">
        <v>112</v>
      </c>
      <c r="B394" t="s">
        <v>100</v>
      </c>
      <c r="C394" t="s">
        <v>73</v>
      </c>
      <c r="D394" t="s">
        <v>356</v>
      </c>
    </row>
    <row r="395" spans="1:4" x14ac:dyDescent="0.3">
      <c r="A395" t="s">
        <v>112</v>
      </c>
      <c r="B395" t="s">
        <v>100</v>
      </c>
      <c r="C395" t="s">
        <v>73</v>
      </c>
      <c r="D395" t="s">
        <v>525</v>
      </c>
    </row>
    <row r="396" spans="1:4" x14ac:dyDescent="0.3">
      <c r="A396" t="s">
        <v>112</v>
      </c>
      <c r="B396" t="s">
        <v>100</v>
      </c>
      <c r="C396" t="s">
        <v>73</v>
      </c>
      <c r="D396" t="s">
        <v>698</v>
      </c>
    </row>
    <row r="397" spans="1:4" x14ac:dyDescent="0.3">
      <c r="A397" t="s">
        <v>112</v>
      </c>
      <c r="B397" t="s">
        <v>100</v>
      </c>
      <c r="C397" t="s">
        <v>73</v>
      </c>
      <c r="D397" t="s">
        <v>859</v>
      </c>
    </row>
    <row r="398" spans="1:4" x14ac:dyDescent="0.3">
      <c r="A398" t="s">
        <v>112</v>
      </c>
      <c r="B398" t="s">
        <v>100</v>
      </c>
      <c r="C398" t="s">
        <v>73</v>
      </c>
      <c r="D398" t="s">
        <v>1026</v>
      </c>
    </row>
    <row r="399" spans="1:4" x14ac:dyDescent="0.3">
      <c r="A399" t="s">
        <v>112</v>
      </c>
      <c r="B399" t="s">
        <v>100</v>
      </c>
      <c r="C399" t="s">
        <v>73</v>
      </c>
      <c r="D399" t="s">
        <v>1196</v>
      </c>
    </row>
    <row r="400" spans="1:4" x14ac:dyDescent="0.3">
      <c r="A400" t="s">
        <v>112</v>
      </c>
      <c r="B400" t="s">
        <v>100</v>
      </c>
      <c r="C400" t="s">
        <v>73</v>
      </c>
      <c r="D400" t="s">
        <v>1367</v>
      </c>
    </row>
    <row r="401" spans="1:4" x14ac:dyDescent="0.3">
      <c r="A401" t="s">
        <v>112</v>
      </c>
      <c r="B401" t="s">
        <v>100</v>
      </c>
      <c r="C401" t="s">
        <v>73</v>
      </c>
      <c r="D401" t="s">
        <v>1538</v>
      </c>
    </row>
    <row r="402" spans="1:4" x14ac:dyDescent="0.3">
      <c r="A402" t="s">
        <v>112</v>
      </c>
      <c r="B402" t="s">
        <v>100</v>
      </c>
      <c r="C402" t="s">
        <v>61</v>
      </c>
      <c r="D402" t="s">
        <v>1958</v>
      </c>
    </row>
    <row r="403" spans="1:4" x14ac:dyDescent="0.3">
      <c r="A403" t="s">
        <v>112</v>
      </c>
      <c r="B403" t="s">
        <v>100</v>
      </c>
      <c r="C403" t="s">
        <v>61</v>
      </c>
      <c r="D403" t="s">
        <v>1959</v>
      </c>
    </row>
    <row r="404" spans="1:4" x14ac:dyDescent="0.3">
      <c r="A404" t="s">
        <v>112</v>
      </c>
      <c r="B404" t="s">
        <v>100</v>
      </c>
      <c r="C404" t="s">
        <v>61</v>
      </c>
      <c r="D404" t="s">
        <v>1960</v>
      </c>
    </row>
    <row r="405" spans="1:4" x14ac:dyDescent="0.3">
      <c r="A405" t="s">
        <v>112</v>
      </c>
      <c r="B405" t="s">
        <v>100</v>
      </c>
      <c r="C405" t="s">
        <v>61</v>
      </c>
      <c r="D405" t="s">
        <v>1961</v>
      </c>
    </row>
    <row r="406" spans="1:4" x14ac:dyDescent="0.3">
      <c r="A406" t="s">
        <v>112</v>
      </c>
      <c r="B406" t="s">
        <v>100</v>
      </c>
      <c r="C406" t="s">
        <v>61</v>
      </c>
      <c r="D406" t="s">
        <v>1962</v>
      </c>
    </row>
    <row r="407" spans="1:4" x14ac:dyDescent="0.3">
      <c r="A407" t="s">
        <v>112</v>
      </c>
      <c r="B407" t="s">
        <v>100</v>
      </c>
      <c r="C407" t="s">
        <v>61</v>
      </c>
      <c r="D407" t="s">
        <v>1963</v>
      </c>
    </row>
    <row r="408" spans="1:4" x14ac:dyDescent="0.3">
      <c r="A408" t="s">
        <v>112</v>
      </c>
      <c r="B408" t="s">
        <v>100</v>
      </c>
      <c r="C408" t="s">
        <v>61</v>
      </c>
      <c r="D408" t="s">
        <v>1964</v>
      </c>
    </row>
    <row r="409" spans="1:4" x14ac:dyDescent="0.3">
      <c r="A409" t="s">
        <v>112</v>
      </c>
      <c r="B409" t="s">
        <v>100</v>
      </c>
      <c r="C409" t="s">
        <v>61</v>
      </c>
      <c r="D409" t="s">
        <v>1965</v>
      </c>
    </row>
    <row r="410" spans="1:4" x14ac:dyDescent="0.3">
      <c r="A410" t="s">
        <v>112</v>
      </c>
      <c r="B410" t="s">
        <v>100</v>
      </c>
      <c r="C410" t="s">
        <v>67</v>
      </c>
      <c r="D410" t="s">
        <v>1966</v>
      </c>
    </row>
    <row r="411" spans="1:4" x14ac:dyDescent="0.3">
      <c r="A411" t="s">
        <v>112</v>
      </c>
      <c r="B411" t="s">
        <v>100</v>
      </c>
      <c r="C411" t="s">
        <v>67</v>
      </c>
      <c r="D411" t="s">
        <v>1967</v>
      </c>
    </row>
    <row r="412" spans="1:4" x14ac:dyDescent="0.3">
      <c r="A412" t="s">
        <v>112</v>
      </c>
      <c r="B412" t="s">
        <v>100</v>
      </c>
      <c r="C412" t="s">
        <v>67</v>
      </c>
      <c r="D412" t="s">
        <v>1968</v>
      </c>
    </row>
    <row r="413" spans="1:4" x14ac:dyDescent="0.3">
      <c r="A413" t="s">
        <v>112</v>
      </c>
      <c r="B413" t="s">
        <v>100</v>
      </c>
      <c r="C413" t="s">
        <v>67</v>
      </c>
      <c r="D413" t="s">
        <v>1969</v>
      </c>
    </row>
    <row r="414" spans="1:4" x14ac:dyDescent="0.3">
      <c r="A414" t="s">
        <v>112</v>
      </c>
      <c r="B414" t="s">
        <v>100</v>
      </c>
      <c r="C414" t="s">
        <v>67</v>
      </c>
      <c r="D414" t="s">
        <v>1970</v>
      </c>
    </row>
    <row r="415" spans="1:4" x14ac:dyDescent="0.3">
      <c r="A415" t="s">
        <v>112</v>
      </c>
      <c r="B415" t="s">
        <v>100</v>
      </c>
      <c r="C415" t="s">
        <v>67</v>
      </c>
      <c r="D415" t="s">
        <v>1971</v>
      </c>
    </row>
    <row r="416" spans="1:4" x14ac:dyDescent="0.3">
      <c r="A416" t="s">
        <v>112</v>
      </c>
      <c r="B416" t="s">
        <v>100</v>
      </c>
      <c r="C416" t="s">
        <v>67</v>
      </c>
      <c r="D416" t="s">
        <v>1972</v>
      </c>
    </row>
    <row r="417" spans="1:4" x14ac:dyDescent="0.3">
      <c r="A417" t="s">
        <v>112</v>
      </c>
      <c r="B417" t="s">
        <v>100</v>
      </c>
      <c r="C417" t="s">
        <v>67</v>
      </c>
      <c r="D417" t="s">
        <v>1973</v>
      </c>
    </row>
    <row r="418" spans="1:4" x14ac:dyDescent="0.3">
      <c r="A418" t="s">
        <v>112</v>
      </c>
      <c r="B418" t="s">
        <v>99</v>
      </c>
      <c r="C418" t="s">
        <v>64</v>
      </c>
      <c r="D418" t="s">
        <v>1974</v>
      </c>
    </row>
    <row r="419" spans="1:4" x14ac:dyDescent="0.3">
      <c r="A419" t="s">
        <v>112</v>
      </c>
      <c r="B419" t="s">
        <v>99</v>
      </c>
      <c r="C419" t="s">
        <v>64</v>
      </c>
      <c r="D419" t="s">
        <v>1975</v>
      </c>
    </row>
    <row r="420" spans="1:4" x14ac:dyDescent="0.3">
      <c r="A420" t="s">
        <v>112</v>
      </c>
      <c r="B420" t="s">
        <v>99</v>
      </c>
      <c r="C420" t="s">
        <v>64</v>
      </c>
      <c r="D420" t="s">
        <v>693</v>
      </c>
    </row>
    <row r="421" spans="1:4" x14ac:dyDescent="0.3">
      <c r="A421" t="s">
        <v>112</v>
      </c>
      <c r="B421" t="s">
        <v>99</v>
      </c>
      <c r="C421" t="s">
        <v>64</v>
      </c>
      <c r="D421" t="s">
        <v>1976</v>
      </c>
    </row>
    <row r="422" spans="1:4" x14ac:dyDescent="0.3">
      <c r="A422" t="s">
        <v>112</v>
      </c>
      <c r="B422" t="s">
        <v>99</v>
      </c>
      <c r="C422" t="s">
        <v>64</v>
      </c>
      <c r="D422" t="s">
        <v>1021</v>
      </c>
    </row>
    <row r="423" spans="1:4" x14ac:dyDescent="0.3">
      <c r="A423" t="s">
        <v>112</v>
      </c>
      <c r="B423" t="s">
        <v>99</v>
      </c>
      <c r="C423" t="s">
        <v>64</v>
      </c>
      <c r="D423" t="s">
        <v>1191</v>
      </c>
    </row>
    <row r="424" spans="1:4" x14ac:dyDescent="0.3">
      <c r="A424" t="s">
        <v>112</v>
      </c>
      <c r="B424" t="s">
        <v>99</v>
      </c>
      <c r="C424" t="s">
        <v>64</v>
      </c>
      <c r="D424" t="s">
        <v>1977</v>
      </c>
    </row>
    <row r="425" spans="1:4" x14ac:dyDescent="0.3">
      <c r="A425" t="s">
        <v>112</v>
      </c>
      <c r="B425" t="s">
        <v>99</v>
      </c>
      <c r="C425" t="s">
        <v>64</v>
      </c>
      <c r="D425" t="s">
        <v>1533</v>
      </c>
    </row>
    <row r="426" spans="1:4" x14ac:dyDescent="0.3">
      <c r="A426" t="s">
        <v>112</v>
      </c>
      <c r="B426" t="s">
        <v>99</v>
      </c>
      <c r="C426" t="s">
        <v>73</v>
      </c>
      <c r="D426" t="s">
        <v>1978</v>
      </c>
    </row>
    <row r="427" spans="1:4" x14ac:dyDescent="0.3">
      <c r="A427" t="s">
        <v>112</v>
      </c>
      <c r="B427" t="s">
        <v>99</v>
      </c>
      <c r="C427" t="s">
        <v>73</v>
      </c>
      <c r="D427" t="s">
        <v>1979</v>
      </c>
    </row>
    <row r="428" spans="1:4" x14ac:dyDescent="0.3">
      <c r="A428" t="s">
        <v>112</v>
      </c>
      <c r="B428" t="s">
        <v>99</v>
      </c>
      <c r="C428" t="s">
        <v>73</v>
      </c>
      <c r="D428" t="s">
        <v>1980</v>
      </c>
    </row>
    <row r="429" spans="1:4" x14ac:dyDescent="0.3">
      <c r="A429" t="s">
        <v>112</v>
      </c>
      <c r="B429" t="s">
        <v>99</v>
      </c>
      <c r="C429" t="s">
        <v>73</v>
      </c>
      <c r="D429" t="s">
        <v>1981</v>
      </c>
    </row>
    <row r="430" spans="1:4" x14ac:dyDescent="0.3">
      <c r="A430" t="s">
        <v>112</v>
      </c>
      <c r="B430" t="s">
        <v>99</v>
      </c>
      <c r="C430" t="s">
        <v>73</v>
      </c>
      <c r="D430" t="s">
        <v>1982</v>
      </c>
    </row>
    <row r="431" spans="1:4" x14ac:dyDescent="0.3">
      <c r="A431" t="s">
        <v>112</v>
      </c>
      <c r="B431" t="s">
        <v>99</v>
      </c>
      <c r="C431" t="s">
        <v>73</v>
      </c>
      <c r="D431" t="s">
        <v>1983</v>
      </c>
    </row>
    <row r="432" spans="1:4" x14ac:dyDescent="0.3">
      <c r="A432" t="s">
        <v>112</v>
      </c>
      <c r="B432" t="s">
        <v>99</v>
      </c>
      <c r="C432" t="s">
        <v>73</v>
      </c>
      <c r="D432" t="s">
        <v>1984</v>
      </c>
    </row>
    <row r="433" spans="1:4" x14ac:dyDescent="0.3">
      <c r="A433" t="s">
        <v>112</v>
      </c>
      <c r="B433" t="s">
        <v>99</v>
      </c>
      <c r="C433" t="s">
        <v>73</v>
      </c>
      <c r="D433" t="s">
        <v>1985</v>
      </c>
    </row>
    <row r="434" spans="1:4" x14ac:dyDescent="0.3">
      <c r="A434" t="s">
        <v>112</v>
      </c>
      <c r="B434" t="s">
        <v>99</v>
      </c>
      <c r="C434" t="s">
        <v>61</v>
      </c>
      <c r="D434" t="s">
        <v>1986</v>
      </c>
    </row>
    <row r="435" spans="1:4" x14ac:dyDescent="0.3">
      <c r="A435" t="s">
        <v>112</v>
      </c>
      <c r="B435" t="s">
        <v>99</v>
      </c>
      <c r="C435" t="s">
        <v>61</v>
      </c>
      <c r="D435" t="s">
        <v>1987</v>
      </c>
    </row>
    <row r="436" spans="1:4" x14ac:dyDescent="0.3">
      <c r="A436" t="s">
        <v>112</v>
      </c>
      <c r="B436" t="s">
        <v>99</v>
      </c>
      <c r="C436" t="s">
        <v>61</v>
      </c>
      <c r="D436" t="s">
        <v>1988</v>
      </c>
    </row>
    <row r="437" spans="1:4" x14ac:dyDescent="0.3">
      <c r="A437" t="s">
        <v>112</v>
      </c>
      <c r="B437" t="s">
        <v>99</v>
      </c>
      <c r="C437" t="s">
        <v>61</v>
      </c>
      <c r="D437" t="s">
        <v>1989</v>
      </c>
    </row>
    <row r="438" spans="1:4" x14ac:dyDescent="0.3">
      <c r="A438" t="s">
        <v>112</v>
      </c>
      <c r="B438" t="s">
        <v>99</v>
      </c>
      <c r="C438" t="s">
        <v>61</v>
      </c>
      <c r="D438" t="s">
        <v>1990</v>
      </c>
    </row>
    <row r="439" spans="1:4" x14ac:dyDescent="0.3">
      <c r="A439" t="s">
        <v>112</v>
      </c>
      <c r="B439" t="s">
        <v>99</v>
      </c>
      <c r="C439" t="s">
        <v>61</v>
      </c>
      <c r="D439" t="s">
        <v>1991</v>
      </c>
    </row>
    <row r="440" spans="1:4" x14ac:dyDescent="0.3">
      <c r="A440" t="s">
        <v>112</v>
      </c>
      <c r="B440" t="s">
        <v>99</v>
      </c>
      <c r="C440" t="s">
        <v>61</v>
      </c>
      <c r="D440" t="s">
        <v>1992</v>
      </c>
    </row>
    <row r="441" spans="1:4" x14ac:dyDescent="0.3">
      <c r="A441" t="s">
        <v>112</v>
      </c>
      <c r="B441" t="s">
        <v>99</v>
      </c>
      <c r="C441" t="s">
        <v>61</v>
      </c>
      <c r="D441" t="s">
        <v>1993</v>
      </c>
    </row>
    <row r="442" spans="1:4" x14ac:dyDescent="0.3">
      <c r="A442" t="s">
        <v>112</v>
      </c>
      <c r="B442" t="s">
        <v>99</v>
      </c>
      <c r="C442" t="s">
        <v>67</v>
      </c>
      <c r="D442" t="s">
        <v>1994</v>
      </c>
    </row>
    <row r="443" spans="1:4" x14ac:dyDescent="0.3">
      <c r="A443" t="s">
        <v>112</v>
      </c>
      <c r="B443" t="s">
        <v>99</v>
      </c>
      <c r="C443" t="s">
        <v>67</v>
      </c>
      <c r="D443" t="s">
        <v>1995</v>
      </c>
    </row>
    <row r="444" spans="1:4" x14ac:dyDescent="0.3">
      <c r="A444" t="s">
        <v>112</v>
      </c>
      <c r="B444" t="s">
        <v>99</v>
      </c>
      <c r="C444" t="s">
        <v>67</v>
      </c>
      <c r="D444" t="s">
        <v>1996</v>
      </c>
    </row>
    <row r="445" spans="1:4" x14ac:dyDescent="0.3">
      <c r="A445" t="s">
        <v>112</v>
      </c>
      <c r="B445" t="s">
        <v>99</v>
      </c>
      <c r="C445" t="s">
        <v>67</v>
      </c>
      <c r="D445" t="s">
        <v>1997</v>
      </c>
    </row>
    <row r="446" spans="1:4" x14ac:dyDescent="0.3">
      <c r="A446" t="s">
        <v>112</v>
      </c>
      <c r="B446" t="s">
        <v>99</v>
      </c>
      <c r="C446" t="s">
        <v>67</v>
      </c>
      <c r="D446" t="s">
        <v>1998</v>
      </c>
    </row>
    <row r="447" spans="1:4" x14ac:dyDescent="0.3">
      <c r="A447" t="s">
        <v>112</v>
      </c>
      <c r="B447" t="s">
        <v>99</v>
      </c>
      <c r="C447" t="s">
        <v>67</v>
      </c>
      <c r="D447" t="s">
        <v>1999</v>
      </c>
    </row>
    <row r="448" spans="1:4" x14ac:dyDescent="0.3">
      <c r="A448" t="s">
        <v>112</v>
      </c>
      <c r="B448" t="s">
        <v>99</v>
      </c>
      <c r="C448" t="s">
        <v>67</v>
      </c>
      <c r="D448" t="s">
        <v>2000</v>
      </c>
    </row>
    <row r="449" spans="1:4" x14ac:dyDescent="0.3">
      <c r="A449" t="s">
        <v>112</v>
      </c>
      <c r="B449" t="s">
        <v>99</v>
      </c>
      <c r="C449" t="s">
        <v>67</v>
      </c>
      <c r="D449" t="s">
        <v>2001</v>
      </c>
    </row>
    <row r="450" spans="1:4" x14ac:dyDescent="0.3">
      <c r="A450" t="s">
        <v>112</v>
      </c>
      <c r="B450" t="s">
        <v>60</v>
      </c>
      <c r="C450" t="s">
        <v>64</v>
      </c>
      <c r="D450" t="s">
        <v>2002</v>
      </c>
    </row>
    <row r="451" spans="1:4" x14ac:dyDescent="0.3">
      <c r="A451" t="s">
        <v>112</v>
      </c>
      <c r="B451" t="s">
        <v>60</v>
      </c>
      <c r="C451" t="s">
        <v>64</v>
      </c>
      <c r="D451" t="s">
        <v>2003</v>
      </c>
    </row>
    <row r="452" spans="1:4" x14ac:dyDescent="0.3">
      <c r="A452" t="s">
        <v>112</v>
      </c>
      <c r="B452" t="s">
        <v>60</v>
      </c>
      <c r="C452" t="s">
        <v>64</v>
      </c>
      <c r="D452" t="s">
        <v>2004</v>
      </c>
    </row>
    <row r="453" spans="1:4" x14ac:dyDescent="0.3">
      <c r="A453" t="s">
        <v>112</v>
      </c>
      <c r="B453" t="s">
        <v>60</v>
      </c>
      <c r="C453" t="s">
        <v>64</v>
      </c>
      <c r="D453" t="s">
        <v>2005</v>
      </c>
    </row>
    <row r="454" spans="1:4" x14ac:dyDescent="0.3">
      <c r="A454" t="s">
        <v>112</v>
      </c>
      <c r="B454" t="s">
        <v>60</v>
      </c>
      <c r="C454" t="s">
        <v>64</v>
      </c>
      <c r="D454" t="s">
        <v>2006</v>
      </c>
    </row>
    <row r="455" spans="1:4" x14ac:dyDescent="0.3">
      <c r="A455" t="s">
        <v>112</v>
      </c>
      <c r="B455" t="s">
        <v>60</v>
      </c>
      <c r="C455" t="s">
        <v>64</v>
      </c>
      <c r="D455" t="s">
        <v>2007</v>
      </c>
    </row>
    <row r="456" spans="1:4" x14ac:dyDescent="0.3">
      <c r="A456" t="s">
        <v>112</v>
      </c>
      <c r="B456" t="s">
        <v>60</v>
      </c>
      <c r="C456" t="s">
        <v>64</v>
      </c>
      <c r="D456" t="s">
        <v>2008</v>
      </c>
    </row>
    <row r="457" spans="1:4" x14ac:dyDescent="0.3">
      <c r="A457" t="s">
        <v>112</v>
      </c>
      <c r="B457" t="s">
        <v>60</v>
      </c>
      <c r="C457" t="s">
        <v>64</v>
      </c>
      <c r="D457" t="s">
        <v>2009</v>
      </c>
    </row>
    <row r="458" spans="1:4" x14ac:dyDescent="0.3">
      <c r="A458" t="s">
        <v>112</v>
      </c>
      <c r="B458" t="s">
        <v>60</v>
      </c>
      <c r="C458" t="s">
        <v>73</v>
      </c>
      <c r="D458" t="s">
        <v>2010</v>
      </c>
    </row>
    <row r="459" spans="1:4" x14ac:dyDescent="0.3">
      <c r="A459" t="s">
        <v>112</v>
      </c>
      <c r="B459" t="s">
        <v>60</v>
      </c>
      <c r="C459" t="s">
        <v>73</v>
      </c>
      <c r="D459" t="s">
        <v>2011</v>
      </c>
    </row>
    <row r="460" spans="1:4" x14ac:dyDescent="0.3">
      <c r="A460" t="s">
        <v>112</v>
      </c>
      <c r="B460" t="s">
        <v>60</v>
      </c>
      <c r="C460" t="s">
        <v>73</v>
      </c>
      <c r="D460" t="s">
        <v>2012</v>
      </c>
    </row>
    <row r="461" spans="1:4" x14ac:dyDescent="0.3">
      <c r="A461" t="s">
        <v>112</v>
      </c>
      <c r="B461" t="s">
        <v>60</v>
      </c>
      <c r="C461" t="s">
        <v>73</v>
      </c>
      <c r="D461" t="s">
        <v>2013</v>
      </c>
    </row>
    <row r="462" spans="1:4" x14ac:dyDescent="0.3">
      <c r="A462" t="s">
        <v>112</v>
      </c>
      <c r="B462" t="s">
        <v>60</v>
      </c>
      <c r="C462" t="s">
        <v>73</v>
      </c>
      <c r="D462" t="s">
        <v>2014</v>
      </c>
    </row>
    <row r="463" spans="1:4" x14ac:dyDescent="0.3">
      <c r="A463" t="s">
        <v>112</v>
      </c>
      <c r="B463" t="s">
        <v>60</v>
      </c>
      <c r="C463" t="s">
        <v>73</v>
      </c>
      <c r="D463" t="s">
        <v>2015</v>
      </c>
    </row>
    <row r="464" spans="1:4" x14ac:dyDescent="0.3">
      <c r="A464" t="s">
        <v>112</v>
      </c>
      <c r="B464" t="s">
        <v>60</v>
      </c>
      <c r="C464" t="s">
        <v>73</v>
      </c>
      <c r="D464" t="s">
        <v>2016</v>
      </c>
    </row>
    <row r="465" spans="1:4" x14ac:dyDescent="0.3">
      <c r="A465" t="s">
        <v>112</v>
      </c>
      <c r="B465" t="s">
        <v>60</v>
      </c>
      <c r="C465" t="s">
        <v>73</v>
      </c>
      <c r="D465" t="s">
        <v>2017</v>
      </c>
    </row>
    <row r="466" spans="1:4" x14ac:dyDescent="0.3">
      <c r="A466" t="s">
        <v>112</v>
      </c>
      <c r="B466" t="s">
        <v>60</v>
      </c>
      <c r="C466" t="s">
        <v>61</v>
      </c>
      <c r="D466" t="s">
        <v>2018</v>
      </c>
    </row>
    <row r="467" spans="1:4" x14ac:dyDescent="0.3">
      <c r="A467" t="s">
        <v>112</v>
      </c>
      <c r="B467" t="s">
        <v>60</v>
      </c>
      <c r="C467" t="s">
        <v>61</v>
      </c>
      <c r="D467" t="s">
        <v>2019</v>
      </c>
    </row>
    <row r="468" spans="1:4" x14ac:dyDescent="0.3">
      <c r="A468" t="s">
        <v>112</v>
      </c>
      <c r="B468" t="s">
        <v>60</v>
      </c>
      <c r="C468" t="s">
        <v>61</v>
      </c>
      <c r="D468" t="s">
        <v>2020</v>
      </c>
    </row>
    <row r="469" spans="1:4" x14ac:dyDescent="0.3">
      <c r="A469" t="s">
        <v>112</v>
      </c>
      <c r="B469" t="s">
        <v>60</v>
      </c>
      <c r="C469" t="s">
        <v>61</v>
      </c>
      <c r="D469" t="s">
        <v>2021</v>
      </c>
    </row>
    <row r="470" spans="1:4" x14ac:dyDescent="0.3">
      <c r="A470" t="s">
        <v>112</v>
      </c>
      <c r="B470" t="s">
        <v>60</v>
      </c>
      <c r="C470" t="s">
        <v>61</v>
      </c>
      <c r="D470" t="s">
        <v>2022</v>
      </c>
    </row>
    <row r="471" spans="1:4" x14ac:dyDescent="0.3">
      <c r="A471" t="s">
        <v>112</v>
      </c>
      <c r="B471" t="s">
        <v>60</v>
      </c>
      <c r="C471" t="s">
        <v>61</v>
      </c>
      <c r="D471" t="s">
        <v>2023</v>
      </c>
    </row>
    <row r="472" spans="1:4" x14ac:dyDescent="0.3">
      <c r="A472" t="s">
        <v>112</v>
      </c>
      <c r="B472" t="s">
        <v>60</v>
      </c>
      <c r="C472" t="s">
        <v>61</v>
      </c>
      <c r="D472" t="s">
        <v>2024</v>
      </c>
    </row>
    <row r="473" spans="1:4" x14ac:dyDescent="0.3">
      <c r="A473" t="s">
        <v>112</v>
      </c>
      <c r="B473" t="s">
        <v>60</v>
      </c>
      <c r="C473" t="s">
        <v>61</v>
      </c>
      <c r="D473" t="s">
        <v>2025</v>
      </c>
    </row>
    <row r="474" spans="1:4" x14ac:dyDescent="0.3">
      <c r="A474" t="s">
        <v>112</v>
      </c>
      <c r="B474" t="s">
        <v>60</v>
      </c>
      <c r="C474" t="s">
        <v>67</v>
      </c>
      <c r="D474" t="s">
        <v>2026</v>
      </c>
    </row>
    <row r="475" spans="1:4" x14ac:dyDescent="0.3">
      <c r="A475" t="s">
        <v>112</v>
      </c>
      <c r="B475" t="s">
        <v>60</v>
      </c>
      <c r="C475" t="s">
        <v>67</v>
      </c>
      <c r="D475" t="s">
        <v>2027</v>
      </c>
    </row>
    <row r="476" spans="1:4" x14ac:dyDescent="0.3">
      <c r="A476" t="s">
        <v>112</v>
      </c>
      <c r="B476" t="s">
        <v>60</v>
      </c>
      <c r="C476" t="s">
        <v>67</v>
      </c>
      <c r="D476" t="s">
        <v>2028</v>
      </c>
    </row>
    <row r="477" spans="1:4" x14ac:dyDescent="0.3">
      <c r="A477" t="s">
        <v>112</v>
      </c>
      <c r="B477" t="s">
        <v>60</v>
      </c>
      <c r="C477" t="s">
        <v>67</v>
      </c>
      <c r="D477" t="s">
        <v>2029</v>
      </c>
    </row>
    <row r="478" spans="1:4" x14ac:dyDescent="0.3">
      <c r="A478" t="s">
        <v>112</v>
      </c>
      <c r="B478" t="s">
        <v>60</v>
      </c>
      <c r="C478" t="s">
        <v>67</v>
      </c>
      <c r="D478" t="s">
        <v>2030</v>
      </c>
    </row>
    <row r="479" spans="1:4" x14ac:dyDescent="0.3">
      <c r="A479" t="s">
        <v>112</v>
      </c>
      <c r="B479" t="s">
        <v>60</v>
      </c>
      <c r="C479" t="s">
        <v>67</v>
      </c>
      <c r="D479" t="s">
        <v>2031</v>
      </c>
    </row>
    <row r="480" spans="1:4" x14ac:dyDescent="0.3">
      <c r="A480" t="s">
        <v>112</v>
      </c>
      <c r="B480" t="s">
        <v>60</v>
      </c>
      <c r="C480" t="s">
        <v>67</v>
      </c>
      <c r="D480" t="s">
        <v>2032</v>
      </c>
    </row>
    <row r="481" spans="1:4" x14ac:dyDescent="0.3">
      <c r="A481" t="s">
        <v>112</v>
      </c>
      <c r="B481" t="s">
        <v>60</v>
      </c>
      <c r="C481" t="s">
        <v>67</v>
      </c>
      <c r="D481" t="s">
        <v>2033</v>
      </c>
    </row>
    <row r="482" spans="1:4" x14ac:dyDescent="0.3">
      <c r="A482" t="s">
        <v>112</v>
      </c>
      <c r="B482" t="s">
        <v>469</v>
      </c>
      <c r="C482" t="s">
        <v>64</v>
      </c>
      <c r="D482" t="s">
        <v>2034</v>
      </c>
    </row>
    <row r="483" spans="1:4" x14ac:dyDescent="0.3">
      <c r="A483" t="s">
        <v>112</v>
      </c>
      <c r="B483" t="s">
        <v>469</v>
      </c>
      <c r="C483" t="s">
        <v>64</v>
      </c>
      <c r="D483" t="s">
        <v>2035</v>
      </c>
    </row>
    <row r="484" spans="1:4" x14ac:dyDescent="0.3">
      <c r="A484" t="s">
        <v>112</v>
      </c>
      <c r="B484" t="s">
        <v>469</v>
      </c>
      <c r="C484" t="s">
        <v>64</v>
      </c>
      <c r="D484" t="s">
        <v>2036</v>
      </c>
    </row>
    <row r="485" spans="1:4" x14ac:dyDescent="0.3">
      <c r="A485" t="s">
        <v>112</v>
      </c>
      <c r="B485" t="s">
        <v>469</v>
      </c>
      <c r="C485" t="s">
        <v>64</v>
      </c>
      <c r="D485" t="s">
        <v>2037</v>
      </c>
    </row>
    <row r="486" spans="1:4" x14ac:dyDescent="0.3">
      <c r="A486" t="s">
        <v>112</v>
      </c>
      <c r="B486" t="s">
        <v>469</v>
      </c>
      <c r="C486" t="s">
        <v>64</v>
      </c>
      <c r="D486" t="s">
        <v>2038</v>
      </c>
    </row>
    <row r="487" spans="1:4" x14ac:dyDescent="0.3">
      <c r="A487" t="s">
        <v>112</v>
      </c>
      <c r="B487" t="s">
        <v>469</v>
      </c>
      <c r="C487" t="s">
        <v>64</v>
      </c>
      <c r="D487" t="s">
        <v>2039</v>
      </c>
    </row>
    <row r="488" spans="1:4" x14ac:dyDescent="0.3">
      <c r="A488" t="s">
        <v>112</v>
      </c>
      <c r="B488" t="s">
        <v>469</v>
      </c>
      <c r="C488" t="s">
        <v>64</v>
      </c>
      <c r="D488" t="s">
        <v>2040</v>
      </c>
    </row>
    <row r="489" spans="1:4" x14ac:dyDescent="0.3">
      <c r="A489" t="s">
        <v>112</v>
      </c>
      <c r="B489" t="s">
        <v>469</v>
      </c>
      <c r="C489" t="s">
        <v>64</v>
      </c>
      <c r="D489" t="s">
        <v>2041</v>
      </c>
    </row>
    <row r="490" spans="1:4" x14ac:dyDescent="0.3">
      <c r="A490" t="s">
        <v>112</v>
      </c>
      <c r="B490" t="s">
        <v>469</v>
      </c>
      <c r="C490" t="s">
        <v>73</v>
      </c>
      <c r="D490" t="s">
        <v>2042</v>
      </c>
    </row>
    <row r="491" spans="1:4" x14ac:dyDescent="0.3">
      <c r="A491" t="s">
        <v>112</v>
      </c>
      <c r="B491" t="s">
        <v>469</v>
      </c>
      <c r="C491" t="s">
        <v>73</v>
      </c>
      <c r="D491" t="s">
        <v>2043</v>
      </c>
    </row>
    <row r="492" spans="1:4" x14ac:dyDescent="0.3">
      <c r="A492" t="s">
        <v>112</v>
      </c>
      <c r="B492" t="s">
        <v>469</v>
      </c>
      <c r="C492" t="s">
        <v>73</v>
      </c>
      <c r="D492" t="s">
        <v>2044</v>
      </c>
    </row>
    <row r="493" spans="1:4" x14ac:dyDescent="0.3">
      <c r="A493" t="s">
        <v>112</v>
      </c>
      <c r="B493" t="s">
        <v>469</v>
      </c>
      <c r="C493" t="s">
        <v>73</v>
      </c>
      <c r="D493" t="s">
        <v>2045</v>
      </c>
    </row>
    <row r="494" spans="1:4" x14ac:dyDescent="0.3">
      <c r="A494" t="s">
        <v>112</v>
      </c>
      <c r="B494" t="s">
        <v>469</v>
      </c>
      <c r="C494" t="s">
        <v>73</v>
      </c>
      <c r="D494" t="s">
        <v>2046</v>
      </c>
    </row>
    <row r="495" spans="1:4" x14ac:dyDescent="0.3">
      <c r="A495" t="s">
        <v>112</v>
      </c>
      <c r="B495" t="s">
        <v>469</v>
      </c>
      <c r="C495" t="s">
        <v>73</v>
      </c>
      <c r="D495" t="s">
        <v>2047</v>
      </c>
    </row>
    <row r="496" spans="1:4" x14ac:dyDescent="0.3">
      <c r="A496" t="s">
        <v>112</v>
      </c>
      <c r="B496" t="s">
        <v>469</v>
      </c>
      <c r="C496" t="s">
        <v>73</v>
      </c>
      <c r="D496" t="s">
        <v>2048</v>
      </c>
    </row>
    <row r="497" spans="1:4" x14ac:dyDescent="0.3">
      <c r="A497" t="s">
        <v>112</v>
      </c>
      <c r="B497" t="s">
        <v>469</v>
      </c>
      <c r="C497" t="s">
        <v>73</v>
      </c>
      <c r="D497" t="s">
        <v>2049</v>
      </c>
    </row>
    <row r="498" spans="1:4" x14ac:dyDescent="0.3">
      <c r="A498" t="s">
        <v>112</v>
      </c>
      <c r="B498" t="s">
        <v>469</v>
      </c>
      <c r="C498" t="s">
        <v>61</v>
      </c>
      <c r="D498" t="s">
        <v>2050</v>
      </c>
    </row>
    <row r="499" spans="1:4" x14ac:dyDescent="0.3">
      <c r="A499" t="s">
        <v>112</v>
      </c>
      <c r="B499" t="s">
        <v>469</v>
      </c>
      <c r="C499" t="s">
        <v>61</v>
      </c>
      <c r="D499" t="s">
        <v>2051</v>
      </c>
    </row>
    <row r="500" spans="1:4" x14ac:dyDescent="0.3">
      <c r="A500" t="s">
        <v>112</v>
      </c>
      <c r="B500" t="s">
        <v>469</v>
      </c>
      <c r="C500" t="s">
        <v>61</v>
      </c>
      <c r="D500" t="s">
        <v>2052</v>
      </c>
    </row>
    <row r="501" spans="1:4" x14ac:dyDescent="0.3">
      <c r="A501" t="s">
        <v>112</v>
      </c>
      <c r="B501" t="s">
        <v>469</v>
      </c>
      <c r="C501" t="s">
        <v>61</v>
      </c>
      <c r="D501" t="s">
        <v>2053</v>
      </c>
    </row>
    <row r="502" spans="1:4" x14ac:dyDescent="0.3">
      <c r="A502" t="s">
        <v>112</v>
      </c>
      <c r="B502" t="s">
        <v>469</v>
      </c>
      <c r="C502" t="s">
        <v>61</v>
      </c>
      <c r="D502" t="s">
        <v>2054</v>
      </c>
    </row>
    <row r="503" spans="1:4" x14ac:dyDescent="0.3">
      <c r="A503" t="s">
        <v>112</v>
      </c>
      <c r="B503" t="s">
        <v>469</v>
      </c>
      <c r="C503" t="s">
        <v>61</v>
      </c>
      <c r="D503" t="s">
        <v>2055</v>
      </c>
    </row>
    <row r="504" spans="1:4" x14ac:dyDescent="0.3">
      <c r="A504" t="s">
        <v>112</v>
      </c>
      <c r="B504" t="s">
        <v>469</v>
      </c>
      <c r="C504" t="s">
        <v>61</v>
      </c>
      <c r="D504" t="s">
        <v>2056</v>
      </c>
    </row>
    <row r="505" spans="1:4" x14ac:dyDescent="0.3">
      <c r="A505" t="s">
        <v>112</v>
      </c>
      <c r="B505" t="s">
        <v>469</v>
      </c>
      <c r="C505" t="s">
        <v>61</v>
      </c>
      <c r="D505" t="s">
        <v>2057</v>
      </c>
    </row>
    <row r="506" spans="1:4" x14ac:dyDescent="0.3">
      <c r="A506" t="s">
        <v>112</v>
      </c>
      <c r="B506" t="s">
        <v>469</v>
      </c>
      <c r="C506" t="s">
        <v>67</v>
      </c>
      <c r="D506" t="s">
        <v>2058</v>
      </c>
    </row>
    <row r="507" spans="1:4" x14ac:dyDescent="0.3">
      <c r="A507" t="s">
        <v>112</v>
      </c>
      <c r="B507" t="s">
        <v>469</v>
      </c>
      <c r="C507" t="s">
        <v>67</v>
      </c>
      <c r="D507" t="s">
        <v>2059</v>
      </c>
    </row>
    <row r="508" spans="1:4" x14ac:dyDescent="0.3">
      <c r="A508" t="s">
        <v>112</v>
      </c>
      <c r="B508" t="s">
        <v>469</v>
      </c>
      <c r="C508" t="s">
        <v>67</v>
      </c>
      <c r="D508" t="s">
        <v>2060</v>
      </c>
    </row>
    <row r="509" spans="1:4" x14ac:dyDescent="0.3">
      <c r="A509" t="s">
        <v>112</v>
      </c>
      <c r="B509" t="s">
        <v>469</v>
      </c>
      <c r="C509" t="s">
        <v>67</v>
      </c>
      <c r="D509" t="s">
        <v>2061</v>
      </c>
    </row>
    <row r="510" spans="1:4" x14ac:dyDescent="0.3">
      <c r="A510" t="s">
        <v>112</v>
      </c>
      <c r="B510" t="s">
        <v>469</v>
      </c>
      <c r="C510" t="s">
        <v>67</v>
      </c>
      <c r="D510" t="s">
        <v>2062</v>
      </c>
    </row>
    <row r="511" spans="1:4" x14ac:dyDescent="0.3">
      <c r="A511" t="s">
        <v>112</v>
      </c>
      <c r="B511" t="s">
        <v>469</v>
      </c>
      <c r="C511" t="s">
        <v>67</v>
      </c>
      <c r="D511" t="s">
        <v>2063</v>
      </c>
    </row>
    <row r="512" spans="1:4" x14ac:dyDescent="0.3">
      <c r="A512" t="s">
        <v>112</v>
      </c>
      <c r="B512" t="s">
        <v>469</v>
      </c>
      <c r="C512" t="s">
        <v>67</v>
      </c>
      <c r="D512" t="s">
        <v>2064</v>
      </c>
    </row>
    <row r="513" spans="1:4" x14ac:dyDescent="0.3">
      <c r="A513" t="s">
        <v>112</v>
      </c>
      <c r="B513" t="s">
        <v>469</v>
      </c>
      <c r="C513" t="s">
        <v>67</v>
      </c>
      <c r="D513" t="s">
        <v>2065</v>
      </c>
    </row>
    <row r="514" spans="1:4" x14ac:dyDescent="0.3">
      <c r="A514" t="s">
        <v>112</v>
      </c>
      <c r="B514" t="s">
        <v>642</v>
      </c>
      <c r="C514" t="s">
        <v>64</v>
      </c>
      <c r="D514" t="s">
        <v>354</v>
      </c>
    </row>
    <row r="515" spans="1:4" x14ac:dyDescent="0.3">
      <c r="A515" t="s">
        <v>112</v>
      </c>
      <c r="B515" t="s">
        <v>642</v>
      </c>
      <c r="C515" t="s">
        <v>64</v>
      </c>
      <c r="D515" t="s">
        <v>523</v>
      </c>
    </row>
    <row r="516" spans="1:4" x14ac:dyDescent="0.3">
      <c r="A516" t="s">
        <v>112</v>
      </c>
      <c r="B516" t="s">
        <v>642</v>
      </c>
      <c r="C516" t="s">
        <v>64</v>
      </c>
      <c r="D516" t="s">
        <v>696</v>
      </c>
    </row>
    <row r="517" spans="1:4" x14ac:dyDescent="0.3">
      <c r="A517" t="s">
        <v>112</v>
      </c>
      <c r="B517" t="s">
        <v>642</v>
      </c>
      <c r="C517" t="s">
        <v>64</v>
      </c>
      <c r="D517" t="s">
        <v>857</v>
      </c>
    </row>
    <row r="518" spans="1:4" x14ac:dyDescent="0.3">
      <c r="A518" t="s">
        <v>112</v>
      </c>
      <c r="B518" t="s">
        <v>642</v>
      </c>
      <c r="C518" t="s">
        <v>64</v>
      </c>
      <c r="D518" t="s">
        <v>1024</v>
      </c>
    </row>
    <row r="519" spans="1:4" x14ac:dyDescent="0.3">
      <c r="A519" t="s">
        <v>112</v>
      </c>
      <c r="B519" t="s">
        <v>642</v>
      </c>
      <c r="C519" t="s">
        <v>64</v>
      </c>
      <c r="D519" t="s">
        <v>1194</v>
      </c>
    </row>
    <row r="520" spans="1:4" x14ac:dyDescent="0.3">
      <c r="A520" t="s">
        <v>112</v>
      </c>
      <c r="B520" t="s">
        <v>642</v>
      </c>
      <c r="C520" t="s">
        <v>64</v>
      </c>
      <c r="D520" t="s">
        <v>1365</v>
      </c>
    </row>
    <row r="521" spans="1:4" x14ac:dyDescent="0.3">
      <c r="A521" t="s">
        <v>112</v>
      </c>
      <c r="B521" t="s">
        <v>642</v>
      </c>
      <c r="C521" t="s">
        <v>64</v>
      </c>
      <c r="D521" t="s">
        <v>1536</v>
      </c>
    </row>
    <row r="522" spans="1:4" x14ac:dyDescent="0.3">
      <c r="A522" t="s">
        <v>112</v>
      </c>
      <c r="B522" t="s">
        <v>642</v>
      </c>
      <c r="C522" t="s">
        <v>73</v>
      </c>
      <c r="D522" t="s">
        <v>360</v>
      </c>
    </row>
    <row r="523" spans="1:4" x14ac:dyDescent="0.3">
      <c r="A523" t="s">
        <v>112</v>
      </c>
      <c r="B523" t="s">
        <v>642</v>
      </c>
      <c r="C523" t="s">
        <v>73</v>
      </c>
      <c r="D523" t="s">
        <v>530</v>
      </c>
    </row>
    <row r="524" spans="1:4" x14ac:dyDescent="0.3">
      <c r="A524" t="s">
        <v>112</v>
      </c>
      <c r="B524" t="s">
        <v>642</v>
      </c>
      <c r="C524" t="s">
        <v>73</v>
      </c>
      <c r="D524" t="s">
        <v>703</v>
      </c>
    </row>
    <row r="525" spans="1:4" x14ac:dyDescent="0.3">
      <c r="A525" t="s">
        <v>112</v>
      </c>
      <c r="B525" t="s">
        <v>642</v>
      </c>
      <c r="C525" t="s">
        <v>73</v>
      </c>
      <c r="D525" t="s">
        <v>864</v>
      </c>
    </row>
    <row r="526" spans="1:4" x14ac:dyDescent="0.3">
      <c r="A526" t="s">
        <v>112</v>
      </c>
      <c r="B526" t="s">
        <v>642</v>
      </c>
      <c r="C526" t="s">
        <v>73</v>
      </c>
      <c r="D526" t="s">
        <v>1031</v>
      </c>
    </row>
    <row r="527" spans="1:4" x14ac:dyDescent="0.3">
      <c r="A527" t="s">
        <v>112</v>
      </c>
      <c r="B527" t="s">
        <v>642</v>
      </c>
      <c r="C527" t="s">
        <v>73</v>
      </c>
      <c r="D527" t="s">
        <v>1201</v>
      </c>
    </row>
    <row r="528" spans="1:4" x14ac:dyDescent="0.3">
      <c r="A528" t="s">
        <v>112</v>
      </c>
      <c r="B528" t="s">
        <v>642</v>
      </c>
      <c r="C528" t="s">
        <v>73</v>
      </c>
      <c r="D528" t="s">
        <v>1372</v>
      </c>
    </row>
    <row r="529" spans="1:4" x14ac:dyDescent="0.3">
      <c r="A529" t="s">
        <v>112</v>
      </c>
      <c r="B529" t="s">
        <v>642</v>
      </c>
      <c r="C529" t="s">
        <v>73</v>
      </c>
      <c r="D529" t="s">
        <v>1543</v>
      </c>
    </row>
    <row r="530" spans="1:4" x14ac:dyDescent="0.3">
      <c r="A530" t="s">
        <v>112</v>
      </c>
      <c r="B530" t="s">
        <v>642</v>
      </c>
      <c r="C530" t="s">
        <v>61</v>
      </c>
      <c r="D530" t="s">
        <v>2066</v>
      </c>
    </row>
    <row r="531" spans="1:4" x14ac:dyDescent="0.3">
      <c r="A531" t="s">
        <v>112</v>
      </c>
      <c r="B531" t="s">
        <v>642</v>
      </c>
      <c r="C531" t="s">
        <v>61</v>
      </c>
      <c r="D531" t="s">
        <v>537</v>
      </c>
    </row>
    <row r="532" spans="1:4" x14ac:dyDescent="0.3">
      <c r="A532" t="s">
        <v>112</v>
      </c>
      <c r="B532" t="s">
        <v>642</v>
      </c>
      <c r="C532" t="s">
        <v>61</v>
      </c>
      <c r="D532" t="s">
        <v>710</v>
      </c>
    </row>
    <row r="533" spans="1:4" x14ac:dyDescent="0.3">
      <c r="A533" t="s">
        <v>112</v>
      </c>
      <c r="B533" t="s">
        <v>642</v>
      </c>
      <c r="C533" t="s">
        <v>61</v>
      </c>
      <c r="D533" t="s">
        <v>871</v>
      </c>
    </row>
    <row r="534" spans="1:4" x14ac:dyDescent="0.3">
      <c r="A534" t="s">
        <v>112</v>
      </c>
      <c r="B534" t="s">
        <v>642</v>
      </c>
      <c r="C534" t="s">
        <v>61</v>
      </c>
      <c r="D534" t="s">
        <v>1038</v>
      </c>
    </row>
    <row r="535" spans="1:4" x14ac:dyDescent="0.3">
      <c r="A535" t="s">
        <v>112</v>
      </c>
      <c r="B535" t="s">
        <v>642</v>
      </c>
      <c r="C535" t="s">
        <v>61</v>
      </c>
      <c r="D535" t="s">
        <v>1208</v>
      </c>
    </row>
    <row r="536" spans="1:4" x14ac:dyDescent="0.3">
      <c r="A536" t="s">
        <v>112</v>
      </c>
      <c r="B536" t="s">
        <v>642</v>
      </c>
      <c r="C536" t="s">
        <v>61</v>
      </c>
      <c r="D536" t="s">
        <v>1379</v>
      </c>
    </row>
    <row r="537" spans="1:4" x14ac:dyDescent="0.3">
      <c r="A537" t="s">
        <v>112</v>
      </c>
      <c r="B537" t="s">
        <v>642</v>
      </c>
      <c r="C537" t="s">
        <v>61</v>
      </c>
      <c r="D537" t="s">
        <v>1550</v>
      </c>
    </row>
    <row r="538" spans="1:4" x14ac:dyDescent="0.3">
      <c r="A538" t="s">
        <v>112</v>
      </c>
      <c r="B538" t="s">
        <v>642</v>
      </c>
      <c r="C538" t="s">
        <v>67</v>
      </c>
      <c r="D538" t="s">
        <v>2067</v>
      </c>
    </row>
    <row r="539" spans="1:4" x14ac:dyDescent="0.3">
      <c r="A539" t="s">
        <v>112</v>
      </c>
      <c r="B539" t="s">
        <v>642</v>
      </c>
      <c r="C539" t="s">
        <v>67</v>
      </c>
      <c r="D539" t="s">
        <v>544</v>
      </c>
    </row>
    <row r="540" spans="1:4" x14ac:dyDescent="0.3">
      <c r="A540" t="s">
        <v>112</v>
      </c>
      <c r="B540" t="s">
        <v>642</v>
      </c>
      <c r="C540" t="s">
        <v>67</v>
      </c>
      <c r="D540" t="s">
        <v>717</v>
      </c>
    </row>
    <row r="541" spans="1:4" x14ac:dyDescent="0.3">
      <c r="A541" t="s">
        <v>112</v>
      </c>
      <c r="B541" t="s">
        <v>642</v>
      </c>
      <c r="C541" t="s">
        <v>67</v>
      </c>
      <c r="D541" t="s">
        <v>878</v>
      </c>
    </row>
    <row r="542" spans="1:4" x14ac:dyDescent="0.3">
      <c r="A542" t="s">
        <v>112</v>
      </c>
      <c r="B542" t="s">
        <v>642</v>
      </c>
      <c r="C542" t="s">
        <v>67</v>
      </c>
      <c r="D542" t="s">
        <v>572</v>
      </c>
    </row>
    <row r="543" spans="1:4" x14ac:dyDescent="0.3">
      <c r="A543" t="s">
        <v>112</v>
      </c>
      <c r="B543" t="s">
        <v>642</v>
      </c>
      <c r="C543" t="s">
        <v>67</v>
      </c>
      <c r="D543" t="s">
        <v>1215</v>
      </c>
    </row>
    <row r="544" spans="1:4" x14ac:dyDescent="0.3">
      <c r="A544" t="s">
        <v>112</v>
      </c>
      <c r="B544" t="s">
        <v>642</v>
      </c>
      <c r="C544" t="s">
        <v>67</v>
      </c>
      <c r="D544" t="s">
        <v>1386</v>
      </c>
    </row>
    <row r="545" spans="1:4" x14ac:dyDescent="0.3">
      <c r="A545" t="s">
        <v>112</v>
      </c>
      <c r="B545" t="s">
        <v>642</v>
      </c>
      <c r="C545" t="s">
        <v>67</v>
      </c>
      <c r="D545" t="s">
        <v>1557</v>
      </c>
    </row>
    <row r="546" spans="1:4" x14ac:dyDescent="0.3">
      <c r="A546" t="s">
        <v>112</v>
      </c>
      <c r="B546" t="s">
        <v>101</v>
      </c>
      <c r="C546" t="s">
        <v>64</v>
      </c>
      <c r="D546" t="s">
        <v>351</v>
      </c>
    </row>
    <row r="547" spans="1:4" x14ac:dyDescent="0.3">
      <c r="A547" t="s">
        <v>112</v>
      </c>
      <c r="B547" t="s">
        <v>101</v>
      </c>
      <c r="C547" t="s">
        <v>64</v>
      </c>
      <c r="D547" t="s">
        <v>519</v>
      </c>
    </row>
    <row r="548" spans="1:4" x14ac:dyDescent="0.3">
      <c r="A548" t="s">
        <v>112</v>
      </c>
      <c r="B548" t="s">
        <v>101</v>
      </c>
      <c r="C548" t="s">
        <v>64</v>
      </c>
      <c r="D548" t="s">
        <v>692</v>
      </c>
    </row>
    <row r="549" spans="1:4" x14ac:dyDescent="0.3">
      <c r="A549" t="s">
        <v>112</v>
      </c>
      <c r="B549" t="s">
        <v>101</v>
      </c>
      <c r="C549" t="s">
        <v>64</v>
      </c>
      <c r="D549" t="s">
        <v>853</v>
      </c>
    </row>
    <row r="550" spans="1:4" x14ac:dyDescent="0.3">
      <c r="A550" t="s">
        <v>112</v>
      </c>
      <c r="B550" t="s">
        <v>101</v>
      </c>
      <c r="C550" t="s">
        <v>64</v>
      </c>
      <c r="D550" t="s">
        <v>1020</v>
      </c>
    </row>
    <row r="551" spans="1:4" x14ac:dyDescent="0.3">
      <c r="A551" t="s">
        <v>112</v>
      </c>
      <c r="B551" t="s">
        <v>101</v>
      </c>
      <c r="C551" t="s">
        <v>64</v>
      </c>
      <c r="D551" t="s">
        <v>1190</v>
      </c>
    </row>
    <row r="552" spans="1:4" x14ac:dyDescent="0.3">
      <c r="A552" t="s">
        <v>112</v>
      </c>
      <c r="B552" t="s">
        <v>101</v>
      </c>
      <c r="C552" t="s">
        <v>64</v>
      </c>
      <c r="D552" t="s">
        <v>1361</v>
      </c>
    </row>
    <row r="553" spans="1:4" x14ac:dyDescent="0.3">
      <c r="A553" t="s">
        <v>112</v>
      </c>
      <c r="B553" t="s">
        <v>101</v>
      </c>
      <c r="C553" t="s">
        <v>64</v>
      </c>
      <c r="D553" t="s">
        <v>1532</v>
      </c>
    </row>
    <row r="554" spans="1:4" x14ac:dyDescent="0.3">
      <c r="A554" t="s">
        <v>112</v>
      </c>
      <c r="B554" t="s">
        <v>101</v>
      </c>
      <c r="C554" t="s">
        <v>73</v>
      </c>
      <c r="D554" t="s">
        <v>79</v>
      </c>
    </row>
    <row r="555" spans="1:4" x14ac:dyDescent="0.3">
      <c r="A555" t="s">
        <v>112</v>
      </c>
      <c r="B555" t="s">
        <v>101</v>
      </c>
      <c r="C555" t="s">
        <v>73</v>
      </c>
      <c r="D555" t="s">
        <v>526</v>
      </c>
    </row>
    <row r="556" spans="1:4" x14ac:dyDescent="0.3">
      <c r="A556" t="s">
        <v>112</v>
      </c>
      <c r="B556" t="s">
        <v>101</v>
      </c>
      <c r="C556" t="s">
        <v>73</v>
      </c>
      <c r="D556" t="s">
        <v>699</v>
      </c>
    </row>
    <row r="557" spans="1:4" x14ac:dyDescent="0.3">
      <c r="A557" t="s">
        <v>112</v>
      </c>
      <c r="B557" t="s">
        <v>101</v>
      </c>
      <c r="C557" t="s">
        <v>73</v>
      </c>
      <c r="D557" t="s">
        <v>860</v>
      </c>
    </row>
    <row r="558" spans="1:4" x14ac:dyDescent="0.3">
      <c r="A558" t="s">
        <v>112</v>
      </c>
      <c r="B558" t="s">
        <v>101</v>
      </c>
      <c r="C558" t="s">
        <v>73</v>
      </c>
      <c r="D558" t="s">
        <v>1027</v>
      </c>
    </row>
    <row r="559" spans="1:4" x14ac:dyDescent="0.3">
      <c r="A559" t="s">
        <v>112</v>
      </c>
      <c r="B559" t="s">
        <v>101</v>
      </c>
      <c r="C559" t="s">
        <v>73</v>
      </c>
      <c r="D559" t="s">
        <v>1197</v>
      </c>
    </row>
    <row r="560" spans="1:4" x14ac:dyDescent="0.3">
      <c r="A560" t="s">
        <v>112</v>
      </c>
      <c r="B560" t="s">
        <v>101</v>
      </c>
      <c r="C560" t="s">
        <v>73</v>
      </c>
      <c r="D560" t="s">
        <v>1368</v>
      </c>
    </row>
    <row r="561" spans="1:4" x14ac:dyDescent="0.3">
      <c r="A561" t="s">
        <v>112</v>
      </c>
      <c r="B561" t="s">
        <v>101</v>
      </c>
      <c r="C561" t="s">
        <v>73</v>
      </c>
      <c r="D561" t="s">
        <v>1539</v>
      </c>
    </row>
    <row r="562" spans="1:4" x14ac:dyDescent="0.3">
      <c r="A562" t="s">
        <v>112</v>
      </c>
      <c r="B562" t="s">
        <v>101</v>
      </c>
      <c r="C562" t="s">
        <v>61</v>
      </c>
      <c r="D562" t="s">
        <v>2068</v>
      </c>
    </row>
    <row r="563" spans="1:4" x14ac:dyDescent="0.3">
      <c r="A563" t="s">
        <v>112</v>
      </c>
      <c r="B563" t="s">
        <v>101</v>
      </c>
      <c r="C563" t="s">
        <v>61</v>
      </c>
      <c r="D563" t="s">
        <v>2069</v>
      </c>
    </row>
    <row r="564" spans="1:4" x14ac:dyDescent="0.3">
      <c r="A564" t="s">
        <v>112</v>
      </c>
      <c r="B564" t="s">
        <v>101</v>
      </c>
      <c r="C564" t="s">
        <v>61</v>
      </c>
      <c r="D564" t="s">
        <v>706</v>
      </c>
    </row>
    <row r="565" spans="1:4" x14ac:dyDescent="0.3">
      <c r="A565" t="s">
        <v>112</v>
      </c>
      <c r="B565" t="s">
        <v>101</v>
      </c>
      <c r="C565" t="s">
        <v>61</v>
      </c>
      <c r="D565" t="s">
        <v>867</v>
      </c>
    </row>
    <row r="566" spans="1:4" x14ac:dyDescent="0.3">
      <c r="A566" t="s">
        <v>112</v>
      </c>
      <c r="B566" t="s">
        <v>101</v>
      </c>
      <c r="C566" t="s">
        <v>61</v>
      </c>
      <c r="D566" t="s">
        <v>1034</v>
      </c>
    </row>
    <row r="567" spans="1:4" x14ac:dyDescent="0.3">
      <c r="A567" t="s">
        <v>112</v>
      </c>
      <c r="B567" t="s">
        <v>101</v>
      </c>
      <c r="C567" t="s">
        <v>61</v>
      </c>
      <c r="D567" t="s">
        <v>2070</v>
      </c>
    </row>
    <row r="568" spans="1:4" x14ac:dyDescent="0.3">
      <c r="A568" t="s">
        <v>112</v>
      </c>
      <c r="B568" t="s">
        <v>101</v>
      </c>
      <c r="C568" t="s">
        <v>61</v>
      </c>
      <c r="D568" t="s">
        <v>1375</v>
      </c>
    </row>
    <row r="569" spans="1:4" x14ac:dyDescent="0.3">
      <c r="A569" t="s">
        <v>112</v>
      </c>
      <c r="B569" t="s">
        <v>101</v>
      </c>
      <c r="C569" t="s">
        <v>61</v>
      </c>
      <c r="D569" t="s">
        <v>2071</v>
      </c>
    </row>
    <row r="570" spans="1:4" x14ac:dyDescent="0.3">
      <c r="A570" t="s">
        <v>112</v>
      </c>
      <c r="B570" t="s">
        <v>101</v>
      </c>
      <c r="C570" t="s">
        <v>67</v>
      </c>
      <c r="D570" t="s">
        <v>370</v>
      </c>
    </row>
    <row r="571" spans="1:4" x14ac:dyDescent="0.3">
      <c r="A571" t="s">
        <v>112</v>
      </c>
      <c r="B571" t="s">
        <v>101</v>
      </c>
      <c r="C571" t="s">
        <v>67</v>
      </c>
      <c r="D571" t="s">
        <v>540</v>
      </c>
    </row>
    <row r="572" spans="1:4" x14ac:dyDescent="0.3">
      <c r="A572" t="s">
        <v>112</v>
      </c>
      <c r="B572" t="s">
        <v>101</v>
      </c>
      <c r="C572" t="s">
        <v>67</v>
      </c>
      <c r="D572" t="s">
        <v>2072</v>
      </c>
    </row>
    <row r="573" spans="1:4" x14ac:dyDescent="0.3">
      <c r="A573" t="s">
        <v>112</v>
      </c>
      <c r="B573" t="s">
        <v>101</v>
      </c>
      <c r="C573" t="s">
        <v>67</v>
      </c>
      <c r="D573" t="s">
        <v>2073</v>
      </c>
    </row>
    <row r="574" spans="1:4" x14ac:dyDescent="0.3">
      <c r="A574" t="s">
        <v>112</v>
      </c>
      <c r="B574" t="s">
        <v>101</v>
      </c>
      <c r="C574" t="s">
        <v>67</v>
      </c>
      <c r="D574" t="s">
        <v>2074</v>
      </c>
    </row>
    <row r="575" spans="1:4" x14ac:dyDescent="0.3">
      <c r="A575" t="s">
        <v>112</v>
      </c>
      <c r="B575" t="s">
        <v>101</v>
      </c>
      <c r="C575" t="s">
        <v>67</v>
      </c>
      <c r="D575" t="s">
        <v>1211</v>
      </c>
    </row>
    <row r="576" spans="1:4" x14ac:dyDescent="0.3">
      <c r="A576" t="s">
        <v>112</v>
      </c>
      <c r="B576" t="s">
        <v>101</v>
      </c>
      <c r="C576" t="s">
        <v>67</v>
      </c>
      <c r="D576" t="s">
        <v>2075</v>
      </c>
    </row>
    <row r="577" spans="1:4" x14ac:dyDescent="0.3">
      <c r="A577" t="s">
        <v>112</v>
      </c>
      <c r="B577" t="s">
        <v>101</v>
      </c>
      <c r="C577" t="s">
        <v>67</v>
      </c>
      <c r="D577" t="s">
        <v>1553</v>
      </c>
    </row>
    <row r="578" spans="1:4" x14ac:dyDescent="0.3">
      <c r="A578" t="s">
        <v>112</v>
      </c>
      <c r="B578" t="s">
        <v>810</v>
      </c>
      <c r="C578" t="s">
        <v>64</v>
      </c>
      <c r="D578" t="s">
        <v>2076</v>
      </c>
    </row>
    <row r="579" spans="1:4" x14ac:dyDescent="0.3">
      <c r="A579" t="s">
        <v>112</v>
      </c>
      <c r="B579" t="s">
        <v>810</v>
      </c>
      <c r="C579" t="s">
        <v>64</v>
      </c>
      <c r="D579" t="s">
        <v>2077</v>
      </c>
    </row>
    <row r="580" spans="1:4" x14ac:dyDescent="0.3">
      <c r="A580" t="s">
        <v>112</v>
      </c>
      <c r="B580" t="s">
        <v>810</v>
      </c>
      <c r="C580" t="s">
        <v>64</v>
      </c>
      <c r="D580" t="s">
        <v>2078</v>
      </c>
    </row>
    <row r="581" spans="1:4" x14ac:dyDescent="0.3">
      <c r="A581" t="s">
        <v>112</v>
      </c>
      <c r="B581" t="s">
        <v>810</v>
      </c>
      <c r="C581" t="s">
        <v>64</v>
      </c>
      <c r="D581" t="s">
        <v>2079</v>
      </c>
    </row>
    <row r="582" spans="1:4" x14ac:dyDescent="0.3">
      <c r="A582" t="s">
        <v>112</v>
      </c>
      <c r="B582" t="s">
        <v>810</v>
      </c>
      <c r="C582" t="s">
        <v>64</v>
      </c>
      <c r="D582" t="s">
        <v>2080</v>
      </c>
    </row>
    <row r="583" spans="1:4" x14ac:dyDescent="0.3">
      <c r="A583" t="s">
        <v>112</v>
      </c>
      <c r="B583" t="s">
        <v>810</v>
      </c>
      <c r="C583" t="s">
        <v>64</v>
      </c>
      <c r="D583" t="s">
        <v>2081</v>
      </c>
    </row>
    <row r="584" spans="1:4" x14ac:dyDescent="0.3">
      <c r="A584" t="s">
        <v>112</v>
      </c>
      <c r="B584" t="s">
        <v>810</v>
      </c>
      <c r="C584" t="s">
        <v>64</v>
      </c>
      <c r="D584" t="s">
        <v>2082</v>
      </c>
    </row>
    <row r="585" spans="1:4" x14ac:dyDescent="0.3">
      <c r="A585" t="s">
        <v>112</v>
      </c>
      <c r="B585" t="s">
        <v>810</v>
      </c>
      <c r="C585" t="s">
        <v>64</v>
      </c>
      <c r="D585" t="s">
        <v>2083</v>
      </c>
    </row>
    <row r="586" spans="1:4" x14ac:dyDescent="0.3">
      <c r="A586" t="s">
        <v>112</v>
      </c>
      <c r="B586" t="s">
        <v>810</v>
      </c>
      <c r="C586" t="s">
        <v>73</v>
      </c>
      <c r="D586" t="s">
        <v>2084</v>
      </c>
    </row>
    <row r="587" spans="1:4" x14ac:dyDescent="0.3">
      <c r="A587" t="s">
        <v>112</v>
      </c>
      <c r="B587" t="s">
        <v>810</v>
      </c>
      <c r="C587" t="s">
        <v>73</v>
      </c>
      <c r="D587" t="s">
        <v>2085</v>
      </c>
    </row>
    <row r="588" spans="1:4" x14ac:dyDescent="0.3">
      <c r="A588" t="s">
        <v>112</v>
      </c>
      <c r="B588" t="s">
        <v>810</v>
      </c>
      <c r="C588" t="s">
        <v>73</v>
      </c>
      <c r="D588" t="s">
        <v>2086</v>
      </c>
    </row>
    <row r="589" spans="1:4" x14ac:dyDescent="0.3">
      <c r="A589" t="s">
        <v>112</v>
      </c>
      <c r="B589" t="s">
        <v>810</v>
      </c>
      <c r="C589" t="s">
        <v>73</v>
      </c>
      <c r="D589" t="s">
        <v>2087</v>
      </c>
    </row>
    <row r="590" spans="1:4" x14ac:dyDescent="0.3">
      <c r="A590" t="s">
        <v>112</v>
      </c>
      <c r="B590" t="s">
        <v>810</v>
      </c>
      <c r="C590" t="s">
        <v>73</v>
      </c>
      <c r="D590" t="s">
        <v>2088</v>
      </c>
    </row>
    <row r="591" spans="1:4" x14ac:dyDescent="0.3">
      <c r="A591" t="s">
        <v>112</v>
      </c>
      <c r="B591" t="s">
        <v>810</v>
      </c>
      <c r="C591" t="s">
        <v>73</v>
      </c>
      <c r="D591" t="s">
        <v>2089</v>
      </c>
    </row>
    <row r="592" spans="1:4" x14ac:dyDescent="0.3">
      <c r="A592" t="s">
        <v>112</v>
      </c>
      <c r="B592" t="s">
        <v>810</v>
      </c>
      <c r="C592" t="s">
        <v>73</v>
      </c>
      <c r="D592" t="s">
        <v>2090</v>
      </c>
    </row>
    <row r="593" spans="1:4" x14ac:dyDescent="0.3">
      <c r="A593" t="s">
        <v>112</v>
      </c>
      <c r="B593" t="s">
        <v>810</v>
      </c>
      <c r="C593" t="s">
        <v>73</v>
      </c>
      <c r="D593" t="s">
        <v>2091</v>
      </c>
    </row>
    <row r="594" spans="1:4" x14ac:dyDescent="0.3">
      <c r="A594" t="s">
        <v>112</v>
      </c>
      <c r="B594" t="s">
        <v>810</v>
      </c>
      <c r="C594" t="s">
        <v>61</v>
      </c>
      <c r="D594" t="s">
        <v>2092</v>
      </c>
    </row>
    <row r="595" spans="1:4" x14ac:dyDescent="0.3">
      <c r="A595" t="s">
        <v>112</v>
      </c>
      <c r="B595" t="s">
        <v>810</v>
      </c>
      <c r="C595" t="s">
        <v>61</v>
      </c>
      <c r="D595" t="s">
        <v>2093</v>
      </c>
    </row>
    <row r="596" spans="1:4" x14ac:dyDescent="0.3">
      <c r="A596" t="s">
        <v>112</v>
      </c>
      <c r="B596" t="s">
        <v>810</v>
      </c>
      <c r="C596" t="s">
        <v>61</v>
      </c>
      <c r="D596" t="s">
        <v>2094</v>
      </c>
    </row>
    <row r="597" spans="1:4" x14ac:dyDescent="0.3">
      <c r="A597" t="s">
        <v>112</v>
      </c>
      <c r="B597" t="s">
        <v>810</v>
      </c>
      <c r="C597" t="s">
        <v>61</v>
      </c>
      <c r="D597" t="s">
        <v>2095</v>
      </c>
    </row>
    <row r="598" spans="1:4" x14ac:dyDescent="0.3">
      <c r="A598" t="s">
        <v>112</v>
      </c>
      <c r="B598" t="s">
        <v>810</v>
      </c>
      <c r="C598" t="s">
        <v>61</v>
      </c>
      <c r="D598" t="s">
        <v>2096</v>
      </c>
    </row>
    <row r="599" spans="1:4" x14ac:dyDescent="0.3">
      <c r="A599" t="s">
        <v>112</v>
      </c>
      <c r="B599" t="s">
        <v>810</v>
      </c>
      <c r="C599" t="s">
        <v>61</v>
      </c>
      <c r="D599" t="s">
        <v>2097</v>
      </c>
    </row>
    <row r="600" spans="1:4" x14ac:dyDescent="0.3">
      <c r="A600" t="s">
        <v>112</v>
      </c>
      <c r="B600" t="s">
        <v>810</v>
      </c>
      <c r="C600" t="s">
        <v>61</v>
      </c>
      <c r="D600" t="s">
        <v>2098</v>
      </c>
    </row>
    <row r="601" spans="1:4" x14ac:dyDescent="0.3">
      <c r="A601" t="s">
        <v>112</v>
      </c>
      <c r="B601" t="s">
        <v>810</v>
      </c>
      <c r="C601" t="s">
        <v>61</v>
      </c>
      <c r="D601" t="s">
        <v>2099</v>
      </c>
    </row>
    <row r="602" spans="1:4" x14ac:dyDescent="0.3">
      <c r="A602" t="s">
        <v>112</v>
      </c>
      <c r="B602" t="s">
        <v>810</v>
      </c>
      <c r="C602" t="s">
        <v>61</v>
      </c>
      <c r="D602" t="s">
        <v>2100</v>
      </c>
    </row>
    <row r="603" spans="1:4" x14ac:dyDescent="0.3">
      <c r="A603" t="s">
        <v>112</v>
      </c>
      <c r="B603" t="s">
        <v>810</v>
      </c>
      <c r="C603" t="s">
        <v>67</v>
      </c>
      <c r="D603" t="s">
        <v>2101</v>
      </c>
    </row>
    <row r="604" spans="1:4" x14ac:dyDescent="0.3">
      <c r="A604" t="s">
        <v>112</v>
      </c>
      <c r="B604" t="s">
        <v>810</v>
      </c>
      <c r="C604" t="s">
        <v>67</v>
      </c>
      <c r="D604" t="s">
        <v>2102</v>
      </c>
    </row>
    <row r="605" spans="1:4" x14ac:dyDescent="0.3">
      <c r="A605" t="s">
        <v>112</v>
      </c>
      <c r="B605" t="s">
        <v>810</v>
      </c>
      <c r="C605" t="s">
        <v>67</v>
      </c>
      <c r="D605" t="s">
        <v>2103</v>
      </c>
    </row>
    <row r="606" spans="1:4" x14ac:dyDescent="0.3">
      <c r="A606" t="s">
        <v>112</v>
      </c>
      <c r="B606" t="s">
        <v>810</v>
      </c>
      <c r="C606" t="s">
        <v>67</v>
      </c>
      <c r="D606" t="s">
        <v>2104</v>
      </c>
    </row>
    <row r="607" spans="1:4" x14ac:dyDescent="0.3">
      <c r="A607" t="s">
        <v>112</v>
      </c>
      <c r="B607" t="s">
        <v>810</v>
      </c>
      <c r="C607" t="s">
        <v>67</v>
      </c>
      <c r="D607" t="s">
        <v>2105</v>
      </c>
    </row>
    <row r="608" spans="1:4" x14ac:dyDescent="0.3">
      <c r="A608" t="s">
        <v>112</v>
      </c>
      <c r="B608" t="s">
        <v>810</v>
      </c>
      <c r="C608" t="s">
        <v>67</v>
      </c>
      <c r="D608" t="s">
        <v>2106</v>
      </c>
    </row>
    <row r="609" spans="1:4" x14ac:dyDescent="0.3">
      <c r="A609" t="s">
        <v>112</v>
      </c>
      <c r="B609" t="s">
        <v>810</v>
      </c>
      <c r="C609" t="s">
        <v>67</v>
      </c>
      <c r="D609" t="s">
        <v>2107</v>
      </c>
    </row>
    <row r="610" spans="1:4" x14ac:dyDescent="0.3">
      <c r="A610" t="s">
        <v>112</v>
      </c>
      <c r="B610" t="s">
        <v>810</v>
      </c>
      <c r="C610" t="s">
        <v>67</v>
      </c>
      <c r="D610" t="s">
        <v>2108</v>
      </c>
    </row>
    <row r="611" spans="1:4" x14ac:dyDescent="0.3">
      <c r="A611" t="s">
        <v>113</v>
      </c>
      <c r="B611" t="s">
        <v>100</v>
      </c>
      <c r="C611" t="s">
        <v>67</v>
      </c>
      <c r="D611" t="s">
        <v>2109</v>
      </c>
    </row>
    <row r="612" spans="1:4" x14ac:dyDescent="0.3">
      <c r="A612" t="s">
        <v>113</v>
      </c>
      <c r="B612" t="s">
        <v>99</v>
      </c>
      <c r="C612" t="s">
        <v>64</v>
      </c>
      <c r="D612" t="s">
        <v>378</v>
      </c>
    </row>
    <row r="613" spans="1:4" x14ac:dyDescent="0.3">
      <c r="A613" t="s">
        <v>113</v>
      </c>
      <c r="B613" t="s">
        <v>99</v>
      </c>
      <c r="C613" t="s">
        <v>64</v>
      </c>
      <c r="D613" t="s">
        <v>548</v>
      </c>
    </row>
    <row r="614" spans="1:4" x14ac:dyDescent="0.3">
      <c r="A614" t="s">
        <v>113</v>
      </c>
      <c r="B614" t="s">
        <v>99</v>
      </c>
      <c r="C614" t="s">
        <v>64</v>
      </c>
      <c r="D614" t="s">
        <v>720</v>
      </c>
    </row>
    <row r="615" spans="1:4" x14ac:dyDescent="0.3">
      <c r="A615" t="s">
        <v>113</v>
      </c>
      <c r="B615" t="s">
        <v>99</v>
      </c>
      <c r="C615" t="s">
        <v>64</v>
      </c>
      <c r="D615" t="s">
        <v>882</v>
      </c>
    </row>
    <row r="616" spans="1:4" x14ac:dyDescent="0.3">
      <c r="A616" t="s">
        <v>113</v>
      </c>
      <c r="B616" t="s">
        <v>99</v>
      </c>
      <c r="C616" t="s">
        <v>64</v>
      </c>
      <c r="D616" t="s">
        <v>1048</v>
      </c>
    </row>
    <row r="617" spans="1:4" x14ac:dyDescent="0.3">
      <c r="A617" t="s">
        <v>113</v>
      </c>
      <c r="B617" t="s">
        <v>99</v>
      </c>
      <c r="C617" t="s">
        <v>64</v>
      </c>
      <c r="D617" t="s">
        <v>1219</v>
      </c>
    </row>
    <row r="618" spans="1:4" x14ac:dyDescent="0.3">
      <c r="A618" t="s">
        <v>113</v>
      </c>
      <c r="B618" t="s">
        <v>99</v>
      </c>
      <c r="C618" t="s">
        <v>64</v>
      </c>
      <c r="D618" t="s">
        <v>1390</v>
      </c>
    </row>
    <row r="619" spans="1:4" x14ac:dyDescent="0.3">
      <c r="A619" t="s">
        <v>113</v>
      </c>
      <c r="B619" t="s">
        <v>99</v>
      </c>
      <c r="C619" t="s">
        <v>64</v>
      </c>
      <c r="D619" t="s">
        <v>1561</v>
      </c>
    </row>
    <row r="620" spans="1:4" x14ac:dyDescent="0.3">
      <c r="A620" t="s">
        <v>113</v>
      </c>
      <c r="B620" t="s">
        <v>99</v>
      </c>
      <c r="C620" t="s">
        <v>73</v>
      </c>
      <c r="D620" t="s">
        <v>384</v>
      </c>
    </row>
    <row r="621" spans="1:4" x14ac:dyDescent="0.3">
      <c r="A621" t="s">
        <v>113</v>
      </c>
      <c r="B621" t="s">
        <v>99</v>
      </c>
      <c r="C621" t="s">
        <v>73</v>
      </c>
      <c r="D621" t="s">
        <v>555</v>
      </c>
    </row>
    <row r="622" spans="1:4" x14ac:dyDescent="0.3">
      <c r="A622" t="s">
        <v>113</v>
      </c>
      <c r="B622" t="s">
        <v>99</v>
      </c>
      <c r="C622" t="s">
        <v>73</v>
      </c>
      <c r="D622" t="s">
        <v>2110</v>
      </c>
    </row>
    <row r="623" spans="1:4" x14ac:dyDescent="0.3">
      <c r="A623" t="s">
        <v>113</v>
      </c>
      <c r="B623" t="s">
        <v>99</v>
      </c>
      <c r="C623" t="s">
        <v>73</v>
      </c>
      <c r="D623" t="s">
        <v>889</v>
      </c>
    </row>
    <row r="624" spans="1:4" x14ac:dyDescent="0.3">
      <c r="A624" t="s">
        <v>113</v>
      </c>
      <c r="B624" t="s">
        <v>99</v>
      </c>
      <c r="C624" t="s">
        <v>73</v>
      </c>
      <c r="D624" t="s">
        <v>2111</v>
      </c>
    </row>
    <row r="625" spans="1:4" x14ac:dyDescent="0.3">
      <c r="A625" t="s">
        <v>113</v>
      </c>
      <c r="B625" t="s">
        <v>99</v>
      </c>
      <c r="C625" t="s">
        <v>73</v>
      </c>
      <c r="D625" t="s">
        <v>1226</v>
      </c>
    </row>
    <row r="626" spans="1:4" x14ac:dyDescent="0.3">
      <c r="A626" t="s">
        <v>113</v>
      </c>
      <c r="B626" t="s">
        <v>99</v>
      </c>
      <c r="C626" t="s">
        <v>73</v>
      </c>
      <c r="D626" t="s">
        <v>1397</v>
      </c>
    </row>
    <row r="627" spans="1:4" x14ac:dyDescent="0.3">
      <c r="A627" t="s">
        <v>113</v>
      </c>
      <c r="B627" t="s">
        <v>99</v>
      </c>
      <c r="C627" t="s">
        <v>73</v>
      </c>
      <c r="D627" t="s">
        <v>2112</v>
      </c>
    </row>
    <row r="628" spans="1:4" x14ac:dyDescent="0.3">
      <c r="A628" t="s">
        <v>113</v>
      </c>
      <c r="B628" t="s">
        <v>99</v>
      </c>
      <c r="C628" t="s">
        <v>61</v>
      </c>
      <c r="D628" t="s">
        <v>2113</v>
      </c>
    </row>
    <row r="629" spans="1:4" x14ac:dyDescent="0.3">
      <c r="A629" t="s">
        <v>113</v>
      </c>
      <c r="B629" t="s">
        <v>99</v>
      </c>
      <c r="C629" t="s">
        <v>61</v>
      </c>
      <c r="D629" t="s">
        <v>2114</v>
      </c>
    </row>
    <row r="630" spans="1:4" x14ac:dyDescent="0.3">
      <c r="A630" t="s">
        <v>113</v>
      </c>
      <c r="B630" t="s">
        <v>99</v>
      </c>
      <c r="C630" t="s">
        <v>61</v>
      </c>
      <c r="D630" t="s">
        <v>2115</v>
      </c>
    </row>
    <row r="631" spans="1:4" x14ac:dyDescent="0.3">
      <c r="A631" t="s">
        <v>113</v>
      </c>
      <c r="B631" t="s">
        <v>99</v>
      </c>
      <c r="C631" t="s">
        <v>61</v>
      </c>
      <c r="D631" t="s">
        <v>2116</v>
      </c>
    </row>
    <row r="632" spans="1:4" x14ac:dyDescent="0.3">
      <c r="A632" t="s">
        <v>113</v>
      </c>
      <c r="B632" t="s">
        <v>99</v>
      </c>
      <c r="C632" t="s">
        <v>61</v>
      </c>
      <c r="D632" t="s">
        <v>2117</v>
      </c>
    </row>
    <row r="633" spans="1:4" x14ac:dyDescent="0.3">
      <c r="A633" t="s">
        <v>113</v>
      </c>
      <c r="B633" t="s">
        <v>99</v>
      </c>
      <c r="C633" t="s">
        <v>61</v>
      </c>
      <c r="D633" t="s">
        <v>2118</v>
      </c>
    </row>
    <row r="634" spans="1:4" x14ac:dyDescent="0.3">
      <c r="A634" t="s">
        <v>113</v>
      </c>
      <c r="B634" t="s">
        <v>99</v>
      </c>
      <c r="C634" t="s">
        <v>61</v>
      </c>
      <c r="D634" t="s">
        <v>2119</v>
      </c>
    </row>
    <row r="635" spans="1:4" x14ac:dyDescent="0.3">
      <c r="A635" t="s">
        <v>113</v>
      </c>
      <c r="B635" t="s">
        <v>99</v>
      </c>
      <c r="C635" t="s">
        <v>61</v>
      </c>
      <c r="D635" t="s">
        <v>2120</v>
      </c>
    </row>
    <row r="636" spans="1:4" x14ac:dyDescent="0.3">
      <c r="A636" t="s">
        <v>113</v>
      </c>
      <c r="B636" t="s">
        <v>99</v>
      </c>
      <c r="C636" t="s">
        <v>67</v>
      </c>
      <c r="D636" t="s">
        <v>2121</v>
      </c>
    </row>
    <row r="637" spans="1:4" x14ac:dyDescent="0.3">
      <c r="A637" t="s">
        <v>113</v>
      </c>
      <c r="B637" t="s">
        <v>99</v>
      </c>
      <c r="C637" t="s">
        <v>67</v>
      </c>
      <c r="D637" t="s">
        <v>2122</v>
      </c>
    </row>
    <row r="638" spans="1:4" x14ac:dyDescent="0.3">
      <c r="A638" t="s">
        <v>113</v>
      </c>
      <c r="B638" t="s">
        <v>99</v>
      </c>
      <c r="C638" t="s">
        <v>67</v>
      </c>
      <c r="D638" t="s">
        <v>2123</v>
      </c>
    </row>
    <row r="639" spans="1:4" x14ac:dyDescent="0.3">
      <c r="A639" t="s">
        <v>113</v>
      </c>
      <c r="B639" t="s">
        <v>99</v>
      </c>
      <c r="C639" t="s">
        <v>67</v>
      </c>
      <c r="D639" t="s">
        <v>2124</v>
      </c>
    </row>
    <row r="640" spans="1:4" x14ac:dyDescent="0.3">
      <c r="A640" t="s">
        <v>113</v>
      </c>
      <c r="B640" t="s">
        <v>99</v>
      </c>
      <c r="C640" t="s">
        <v>67</v>
      </c>
      <c r="D640" t="s">
        <v>2125</v>
      </c>
    </row>
    <row r="641" spans="1:4" x14ac:dyDescent="0.3">
      <c r="A641" t="s">
        <v>113</v>
      </c>
      <c r="B641" t="s">
        <v>99</v>
      </c>
      <c r="C641" t="s">
        <v>67</v>
      </c>
      <c r="D641" t="s">
        <v>2126</v>
      </c>
    </row>
    <row r="642" spans="1:4" x14ac:dyDescent="0.3">
      <c r="A642" t="s">
        <v>113</v>
      </c>
      <c r="B642" t="s">
        <v>99</v>
      </c>
      <c r="C642" t="s">
        <v>67</v>
      </c>
      <c r="D642" t="s">
        <v>2127</v>
      </c>
    </row>
    <row r="643" spans="1:4" x14ac:dyDescent="0.3">
      <c r="A643" t="s">
        <v>113</v>
      </c>
      <c r="B643" t="s">
        <v>99</v>
      </c>
      <c r="C643" t="s">
        <v>67</v>
      </c>
      <c r="D643" t="s">
        <v>2128</v>
      </c>
    </row>
    <row r="644" spans="1:4" x14ac:dyDescent="0.3">
      <c r="A644" t="s">
        <v>113</v>
      </c>
      <c r="B644" t="s">
        <v>60</v>
      </c>
      <c r="C644" t="s">
        <v>64</v>
      </c>
      <c r="D644" t="s">
        <v>2129</v>
      </c>
    </row>
    <row r="645" spans="1:4" x14ac:dyDescent="0.3">
      <c r="A645" t="s">
        <v>113</v>
      </c>
      <c r="B645" t="s">
        <v>60</v>
      </c>
      <c r="C645" t="s">
        <v>64</v>
      </c>
      <c r="D645" t="s">
        <v>2130</v>
      </c>
    </row>
    <row r="646" spans="1:4" x14ac:dyDescent="0.3">
      <c r="A646" t="s">
        <v>113</v>
      </c>
      <c r="B646" t="s">
        <v>60</v>
      </c>
      <c r="C646" t="s">
        <v>64</v>
      </c>
      <c r="D646" t="s">
        <v>2131</v>
      </c>
    </row>
    <row r="647" spans="1:4" x14ac:dyDescent="0.3">
      <c r="A647" t="s">
        <v>113</v>
      </c>
      <c r="B647" t="s">
        <v>60</v>
      </c>
      <c r="C647" t="s">
        <v>64</v>
      </c>
      <c r="D647" t="s">
        <v>2132</v>
      </c>
    </row>
    <row r="648" spans="1:4" x14ac:dyDescent="0.3">
      <c r="A648" t="s">
        <v>113</v>
      </c>
      <c r="B648" t="s">
        <v>60</v>
      </c>
      <c r="C648" t="s">
        <v>64</v>
      </c>
      <c r="D648" t="s">
        <v>2133</v>
      </c>
    </row>
    <row r="649" spans="1:4" x14ac:dyDescent="0.3">
      <c r="A649" t="s">
        <v>113</v>
      </c>
      <c r="B649" t="s">
        <v>60</v>
      </c>
      <c r="C649" t="s">
        <v>64</v>
      </c>
      <c r="D649" t="s">
        <v>2134</v>
      </c>
    </row>
    <row r="650" spans="1:4" x14ac:dyDescent="0.3">
      <c r="A650" t="s">
        <v>113</v>
      </c>
      <c r="B650" t="s">
        <v>60</v>
      </c>
      <c r="C650" t="s">
        <v>64</v>
      </c>
      <c r="D650" t="s">
        <v>2135</v>
      </c>
    </row>
    <row r="651" spans="1:4" x14ac:dyDescent="0.3">
      <c r="A651" t="s">
        <v>113</v>
      </c>
      <c r="B651" t="s">
        <v>60</v>
      </c>
      <c r="C651" t="s">
        <v>64</v>
      </c>
      <c r="D651" t="s">
        <v>2136</v>
      </c>
    </row>
    <row r="652" spans="1:4" x14ac:dyDescent="0.3">
      <c r="A652" t="s">
        <v>113</v>
      </c>
      <c r="B652" t="s">
        <v>60</v>
      </c>
      <c r="C652" t="s">
        <v>73</v>
      </c>
      <c r="D652" t="s">
        <v>2137</v>
      </c>
    </row>
    <row r="653" spans="1:4" x14ac:dyDescent="0.3">
      <c r="A653" t="s">
        <v>113</v>
      </c>
      <c r="B653" t="s">
        <v>60</v>
      </c>
      <c r="C653" t="s">
        <v>73</v>
      </c>
      <c r="D653" t="s">
        <v>2138</v>
      </c>
    </row>
    <row r="654" spans="1:4" x14ac:dyDescent="0.3">
      <c r="A654" t="s">
        <v>113</v>
      </c>
      <c r="B654" t="s">
        <v>60</v>
      </c>
      <c r="C654" t="s">
        <v>73</v>
      </c>
      <c r="D654" t="s">
        <v>2139</v>
      </c>
    </row>
    <row r="655" spans="1:4" x14ac:dyDescent="0.3">
      <c r="A655" t="s">
        <v>113</v>
      </c>
      <c r="B655" t="s">
        <v>60</v>
      </c>
      <c r="C655" t="s">
        <v>73</v>
      </c>
      <c r="D655" t="s">
        <v>2140</v>
      </c>
    </row>
    <row r="656" spans="1:4" x14ac:dyDescent="0.3">
      <c r="A656" t="s">
        <v>113</v>
      </c>
      <c r="B656" t="s">
        <v>60</v>
      </c>
      <c r="C656" t="s">
        <v>73</v>
      </c>
      <c r="D656" t="s">
        <v>2141</v>
      </c>
    </row>
    <row r="657" spans="1:4" x14ac:dyDescent="0.3">
      <c r="A657" t="s">
        <v>113</v>
      </c>
      <c r="B657" t="s">
        <v>60</v>
      </c>
      <c r="C657" t="s">
        <v>73</v>
      </c>
      <c r="D657" t="s">
        <v>2142</v>
      </c>
    </row>
    <row r="658" spans="1:4" x14ac:dyDescent="0.3">
      <c r="A658" t="s">
        <v>113</v>
      </c>
      <c r="B658" t="s">
        <v>60</v>
      </c>
      <c r="C658" t="s">
        <v>73</v>
      </c>
      <c r="D658" t="s">
        <v>2143</v>
      </c>
    </row>
    <row r="659" spans="1:4" x14ac:dyDescent="0.3">
      <c r="A659" t="s">
        <v>113</v>
      </c>
      <c r="B659" t="s">
        <v>60</v>
      </c>
      <c r="C659" t="s">
        <v>73</v>
      </c>
      <c r="D659" t="s">
        <v>2144</v>
      </c>
    </row>
    <row r="660" spans="1:4" x14ac:dyDescent="0.3">
      <c r="A660" t="s">
        <v>113</v>
      </c>
      <c r="B660" t="s">
        <v>60</v>
      </c>
      <c r="C660" t="s">
        <v>61</v>
      </c>
      <c r="D660" t="s">
        <v>2145</v>
      </c>
    </row>
    <row r="661" spans="1:4" x14ac:dyDescent="0.3">
      <c r="A661" t="s">
        <v>113</v>
      </c>
      <c r="B661" t="s">
        <v>60</v>
      </c>
      <c r="C661" t="s">
        <v>61</v>
      </c>
      <c r="D661" t="s">
        <v>2146</v>
      </c>
    </row>
    <row r="662" spans="1:4" x14ac:dyDescent="0.3">
      <c r="A662" t="s">
        <v>113</v>
      </c>
      <c r="B662" t="s">
        <v>60</v>
      </c>
      <c r="C662" t="s">
        <v>61</v>
      </c>
      <c r="D662" t="s">
        <v>2147</v>
      </c>
    </row>
    <row r="663" spans="1:4" x14ac:dyDescent="0.3">
      <c r="A663" t="s">
        <v>113</v>
      </c>
      <c r="B663" t="s">
        <v>60</v>
      </c>
      <c r="C663" t="s">
        <v>61</v>
      </c>
      <c r="D663" t="s">
        <v>2148</v>
      </c>
    </row>
    <row r="664" spans="1:4" x14ac:dyDescent="0.3">
      <c r="A664" t="s">
        <v>113</v>
      </c>
      <c r="B664" t="s">
        <v>60</v>
      </c>
      <c r="C664" t="s">
        <v>61</v>
      </c>
      <c r="D664" t="s">
        <v>2149</v>
      </c>
    </row>
    <row r="665" spans="1:4" x14ac:dyDescent="0.3">
      <c r="A665" t="s">
        <v>113</v>
      </c>
      <c r="B665" t="s">
        <v>60</v>
      </c>
      <c r="C665" t="s">
        <v>61</v>
      </c>
      <c r="D665" t="s">
        <v>2150</v>
      </c>
    </row>
    <row r="666" spans="1:4" x14ac:dyDescent="0.3">
      <c r="A666" t="s">
        <v>113</v>
      </c>
      <c r="B666" t="s">
        <v>60</v>
      </c>
      <c r="C666" t="s">
        <v>61</v>
      </c>
      <c r="D666" t="s">
        <v>2151</v>
      </c>
    </row>
    <row r="667" spans="1:4" x14ac:dyDescent="0.3">
      <c r="A667" t="s">
        <v>113</v>
      </c>
      <c r="B667" t="s">
        <v>60</v>
      </c>
      <c r="C667" t="s">
        <v>61</v>
      </c>
      <c r="D667" t="s">
        <v>2152</v>
      </c>
    </row>
    <row r="668" spans="1:4" x14ac:dyDescent="0.3">
      <c r="A668" t="s">
        <v>113</v>
      </c>
      <c r="B668" t="s">
        <v>60</v>
      </c>
      <c r="C668" t="s">
        <v>67</v>
      </c>
      <c r="D668" t="s">
        <v>2153</v>
      </c>
    </row>
    <row r="669" spans="1:4" x14ac:dyDescent="0.3">
      <c r="A669" t="s">
        <v>113</v>
      </c>
      <c r="B669" t="s">
        <v>60</v>
      </c>
      <c r="C669" t="s">
        <v>67</v>
      </c>
      <c r="D669" t="s">
        <v>2154</v>
      </c>
    </row>
    <row r="670" spans="1:4" x14ac:dyDescent="0.3">
      <c r="A670" t="s">
        <v>113</v>
      </c>
      <c r="B670" t="s">
        <v>60</v>
      </c>
      <c r="C670" t="s">
        <v>67</v>
      </c>
      <c r="D670" t="s">
        <v>2155</v>
      </c>
    </row>
    <row r="671" spans="1:4" x14ac:dyDescent="0.3">
      <c r="A671" t="s">
        <v>113</v>
      </c>
      <c r="B671" t="s">
        <v>60</v>
      </c>
      <c r="C671" t="s">
        <v>67</v>
      </c>
      <c r="D671" t="s">
        <v>2156</v>
      </c>
    </row>
    <row r="672" spans="1:4" x14ac:dyDescent="0.3">
      <c r="A672" t="s">
        <v>113</v>
      </c>
      <c r="B672" t="s">
        <v>60</v>
      </c>
      <c r="C672" t="s">
        <v>67</v>
      </c>
      <c r="D672" t="s">
        <v>2157</v>
      </c>
    </row>
    <row r="673" spans="1:4" x14ac:dyDescent="0.3">
      <c r="A673" t="s">
        <v>113</v>
      </c>
      <c r="B673" t="s">
        <v>60</v>
      </c>
      <c r="C673" t="s">
        <v>67</v>
      </c>
      <c r="D673" t="s">
        <v>2158</v>
      </c>
    </row>
    <row r="674" spans="1:4" x14ac:dyDescent="0.3">
      <c r="A674" t="s">
        <v>113</v>
      </c>
      <c r="B674" t="s">
        <v>60</v>
      </c>
      <c r="C674" t="s">
        <v>67</v>
      </c>
      <c r="D674" t="s">
        <v>2159</v>
      </c>
    </row>
    <row r="675" spans="1:4" x14ac:dyDescent="0.3">
      <c r="A675" t="s">
        <v>113</v>
      </c>
      <c r="B675" t="s">
        <v>60</v>
      </c>
      <c r="C675" t="s">
        <v>67</v>
      </c>
      <c r="D675" t="s">
        <v>2160</v>
      </c>
    </row>
    <row r="676" spans="1:4" x14ac:dyDescent="0.3">
      <c r="A676" t="s">
        <v>113</v>
      </c>
      <c r="B676" t="s">
        <v>469</v>
      </c>
      <c r="C676" t="s">
        <v>64</v>
      </c>
      <c r="D676" t="s">
        <v>2161</v>
      </c>
    </row>
    <row r="677" spans="1:4" x14ac:dyDescent="0.3">
      <c r="A677" t="s">
        <v>113</v>
      </c>
      <c r="B677" t="s">
        <v>469</v>
      </c>
      <c r="C677" t="s">
        <v>64</v>
      </c>
      <c r="D677" t="s">
        <v>2162</v>
      </c>
    </row>
    <row r="678" spans="1:4" x14ac:dyDescent="0.3">
      <c r="A678" t="s">
        <v>113</v>
      </c>
      <c r="B678" t="s">
        <v>469</v>
      </c>
      <c r="C678" t="s">
        <v>64</v>
      </c>
      <c r="D678" t="s">
        <v>2163</v>
      </c>
    </row>
    <row r="679" spans="1:4" x14ac:dyDescent="0.3">
      <c r="A679" t="s">
        <v>113</v>
      </c>
      <c r="B679" t="s">
        <v>469</v>
      </c>
      <c r="C679" t="s">
        <v>64</v>
      </c>
      <c r="D679" t="s">
        <v>2164</v>
      </c>
    </row>
    <row r="680" spans="1:4" x14ac:dyDescent="0.3">
      <c r="A680" t="s">
        <v>113</v>
      </c>
      <c r="B680" t="s">
        <v>469</v>
      </c>
      <c r="C680" t="s">
        <v>64</v>
      </c>
      <c r="D680" t="s">
        <v>2165</v>
      </c>
    </row>
    <row r="681" spans="1:4" x14ac:dyDescent="0.3">
      <c r="A681" t="s">
        <v>113</v>
      </c>
      <c r="B681" t="s">
        <v>469</v>
      </c>
      <c r="C681" t="s">
        <v>64</v>
      </c>
      <c r="D681" t="s">
        <v>2166</v>
      </c>
    </row>
    <row r="682" spans="1:4" x14ac:dyDescent="0.3">
      <c r="A682" t="s">
        <v>113</v>
      </c>
      <c r="B682" t="s">
        <v>469</v>
      </c>
      <c r="C682" t="s">
        <v>64</v>
      </c>
      <c r="D682" t="s">
        <v>2167</v>
      </c>
    </row>
    <row r="683" spans="1:4" x14ac:dyDescent="0.3">
      <c r="A683" t="s">
        <v>113</v>
      </c>
      <c r="B683" t="s">
        <v>469</v>
      </c>
      <c r="C683" t="s">
        <v>64</v>
      </c>
      <c r="D683" t="s">
        <v>2168</v>
      </c>
    </row>
    <row r="684" spans="1:4" x14ac:dyDescent="0.3">
      <c r="A684" t="s">
        <v>113</v>
      </c>
      <c r="B684" t="s">
        <v>469</v>
      </c>
      <c r="C684" t="s">
        <v>73</v>
      </c>
      <c r="D684" t="s">
        <v>2169</v>
      </c>
    </row>
    <row r="685" spans="1:4" x14ac:dyDescent="0.3">
      <c r="A685" t="s">
        <v>113</v>
      </c>
      <c r="B685" t="s">
        <v>469</v>
      </c>
      <c r="C685" t="s">
        <v>73</v>
      </c>
      <c r="D685" t="s">
        <v>2170</v>
      </c>
    </row>
    <row r="686" spans="1:4" x14ac:dyDescent="0.3">
      <c r="A686" t="s">
        <v>113</v>
      </c>
      <c r="B686" t="s">
        <v>469</v>
      </c>
      <c r="C686" t="s">
        <v>73</v>
      </c>
      <c r="D686" t="s">
        <v>2171</v>
      </c>
    </row>
    <row r="687" spans="1:4" x14ac:dyDescent="0.3">
      <c r="A687" t="s">
        <v>113</v>
      </c>
      <c r="B687" t="s">
        <v>469</v>
      </c>
      <c r="C687" t="s">
        <v>73</v>
      </c>
      <c r="D687" t="s">
        <v>2172</v>
      </c>
    </row>
    <row r="688" spans="1:4" x14ac:dyDescent="0.3">
      <c r="A688" t="s">
        <v>113</v>
      </c>
      <c r="B688" t="s">
        <v>469</v>
      </c>
      <c r="C688" t="s">
        <v>73</v>
      </c>
      <c r="D688" t="s">
        <v>2173</v>
      </c>
    </row>
    <row r="689" spans="1:4" x14ac:dyDescent="0.3">
      <c r="A689" t="s">
        <v>113</v>
      </c>
      <c r="B689" t="s">
        <v>469</v>
      </c>
      <c r="C689" t="s">
        <v>73</v>
      </c>
      <c r="D689" t="s">
        <v>2174</v>
      </c>
    </row>
    <row r="690" spans="1:4" x14ac:dyDescent="0.3">
      <c r="A690" t="s">
        <v>113</v>
      </c>
      <c r="B690" t="s">
        <v>469</v>
      </c>
      <c r="C690" t="s">
        <v>73</v>
      </c>
      <c r="D690" t="s">
        <v>2175</v>
      </c>
    </row>
    <row r="691" spans="1:4" x14ac:dyDescent="0.3">
      <c r="A691" t="s">
        <v>113</v>
      </c>
      <c r="B691" t="s">
        <v>469</v>
      </c>
      <c r="C691" t="s">
        <v>73</v>
      </c>
      <c r="D691" t="s">
        <v>2176</v>
      </c>
    </row>
    <row r="692" spans="1:4" x14ac:dyDescent="0.3">
      <c r="A692" t="s">
        <v>113</v>
      </c>
      <c r="B692" t="s">
        <v>469</v>
      </c>
      <c r="C692" t="s">
        <v>61</v>
      </c>
      <c r="D692" t="s">
        <v>2177</v>
      </c>
    </row>
    <row r="693" spans="1:4" x14ac:dyDescent="0.3">
      <c r="A693" t="s">
        <v>113</v>
      </c>
      <c r="B693" t="s">
        <v>469</v>
      </c>
      <c r="C693" t="s">
        <v>61</v>
      </c>
      <c r="D693" t="s">
        <v>2178</v>
      </c>
    </row>
    <row r="694" spans="1:4" x14ac:dyDescent="0.3">
      <c r="A694" t="s">
        <v>113</v>
      </c>
      <c r="B694" t="s">
        <v>469</v>
      </c>
      <c r="C694" t="s">
        <v>61</v>
      </c>
      <c r="D694" t="s">
        <v>2179</v>
      </c>
    </row>
    <row r="695" spans="1:4" x14ac:dyDescent="0.3">
      <c r="A695" t="s">
        <v>113</v>
      </c>
      <c r="B695" t="s">
        <v>469</v>
      </c>
      <c r="C695" t="s">
        <v>61</v>
      </c>
      <c r="D695" t="s">
        <v>2180</v>
      </c>
    </row>
    <row r="696" spans="1:4" x14ac:dyDescent="0.3">
      <c r="A696" t="s">
        <v>113</v>
      </c>
      <c r="B696" t="s">
        <v>469</v>
      </c>
      <c r="C696" t="s">
        <v>61</v>
      </c>
      <c r="D696" t="s">
        <v>2181</v>
      </c>
    </row>
    <row r="697" spans="1:4" x14ac:dyDescent="0.3">
      <c r="A697" t="s">
        <v>113</v>
      </c>
      <c r="B697" t="s">
        <v>469</v>
      </c>
      <c r="C697" t="s">
        <v>61</v>
      </c>
      <c r="D697" t="s">
        <v>2182</v>
      </c>
    </row>
    <row r="698" spans="1:4" x14ac:dyDescent="0.3">
      <c r="A698" t="s">
        <v>113</v>
      </c>
      <c r="B698" t="s">
        <v>469</v>
      </c>
      <c r="C698" t="s">
        <v>61</v>
      </c>
      <c r="D698" t="s">
        <v>2183</v>
      </c>
    </row>
    <row r="699" spans="1:4" x14ac:dyDescent="0.3">
      <c r="A699" t="s">
        <v>113</v>
      </c>
      <c r="B699" t="s">
        <v>469</v>
      </c>
      <c r="C699" t="s">
        <v>61</v>
      </c>
      <c r="D699" t="s">
        <v>2184</v>
      </c>
    </row>
    <row r="700" spans="1:4" x14ac:dyDescent="0.3">
      <c r="A700" t="s">
        <v>113</v>
      </c>
      <c r="B700" t="s">
        <v>469</v>
      </c>
      <c r="C700" t="s">
        <v>67</v>
      </c>
      <c r="D700" t="s">
        <v>2185</v>
      </c>
    </row>
    <row r="701" spans="1:4" x14ac:dyDescent="0.3">
      <c r="A701" t="s">
        <v>113</v>
      </c>
      <c r="B701" t="s">
        <v>469</v>
      </c>
      <c r="C701" t="s">
        <v>67</v>
      </c>
      <c r="D701" t="s">
        <v>2186</v>
      </c>
    </row>
    <row r="702" spans="1:4" x14ac:dyDescent="0.3">
      <c r="A702" t="s">
        <v>113</v>
      </c>
      <c r="B702" t="s">
        <v>469</v>
      </c>
      <c r="C702" t="s">
        <v>67</v>
      </c>
      <c r="D702" t="s">
        <v>2187</v>
      </c>
    </row>
    <row r="703" spans="1:4" x14ac:dyDescent="0.3">
      <c r="A703" t="s">
        <v>113</v>
      </c>
      <c r="B703" t="s">
        <v>469</v>
      </c>
      <c r="C703" t="s">
        <v>67</v>
      </c>
      <c r="D703" t="s">
        <v>2188</v>
      </c>
    </row>
    <row r="704" spans="1:4" x14ac:dyDescent="0.3">
      <c r="A704" t="s">
        <v>113</v>
      </c>
      <c r="B704" t="s">
        <v>469</v>
      </c>
      <c r="C704" t="s">
        <v>67</v>
      </c>
      <c r="D704" t="s">
        <v>2189</v>
      </c>
    </row>
    <row r="705" spans="1:4" x14ac:dyDescent="0.3">
      <c r="A705" t="s">
        <v>113</v>
      </c>
      <c r="B705" t="s">
        <v>469</v>
      </c>
      <c r="C705" t="s">
        <v>67</v>
      </c>
      <c r="D705" t="s">
        <v>2190</v>
      </c>
    </row>
    <row r="706" spans="1:4" x14ac:dyDescent="0.3">
      <c r="A706" t="s">
        <v>113</v>
      </c>
      <c r="B706" t="s">
        <v>469</v>
      </c>
      <c r="C706" t="s">
        <v>67</v>
      </c>
      <c r="D706" t="s">
        <v>2191</v>
      </c>
    </row>
    <row r="707" spans="1:4" x14ac:dyDescent="0.3">
      <c r="A707" t="s">
        <v>113</v>
      </c>
      <c r="B707" t="s">
        <v>469</v>
      </c>
      <c r="C707" t="s">
        <v>67</v>
      </c>
      <c r="D707" t="s">
        <v>2192</v>
      </c>
    </row>
    <row r="708" spans="1:4" x14ac:dyDescent="0.3">
      <c r="A708" t="s">
        <v>113</v>
      </c>
      <c r="B708" t="s">
        <v>642</v>
      </c>
      <c r="C708" t="s">
        <v>64</v>
      </c>
      <c r="D708" t="s">
        <v>381</v>
      </c>
    </row>
    <row r="709" spans="1:4" x14ac:dyDescent="0.3">
      <c r="A709" t="s">
        <v>113</v>
      </c>
      <c r="B709" t="s">
        <v>642</v>
      </c>
      <c r="C709" t="s">
        <v>64</v>
      </c>
      <c r="D709" t="s">
        <v>551</v>
      </c>
    </row>
    <row r="710" spans="1:4" x14ac:dyDescent="0.3">
      <c r="A710" t="s">
        <v>113</v>
      </c>
      <c r="B710" t="s">
        <v>642</v>
      </c>
      <c r="C710" t="s">
        <v>64</v>
      </c>
      <c r="D710" t="s">
        <v>723</v>
      </c>
    </row>
    <row r="711" spans="1:4" x14ac:dyDescent="0.3">
      <c r="A711" t="s">
        <v>113</v>
      </c>
      <c r="B711" t="s">
        <v>642</v>
      </c>
      <c r="C711" t="s">
        <v>64</v>
      </c>
      <c r="D711" t="s">
        <v>885</v>
      </c>
    </row>
    <row r="712" spans="1:4" x14ac:dyDescent="0.3">
      <c r="A712" t="s">
        <v>113</v>
      </c>
      <c r="B712" t="s">
        <v>642</v>
      </c>
      <c r="C712" t="s">
        <v>64</v>
      </c>
      <c r="D712" t="s">
        <v>1051</v>
      </c>
    </row>
    <row r="713" spans="1:4" x14ac:dyDescent="0.3">
      <c r="A713" t="s">
        <v>113</v>
      </c>
      <c r="B713" t="s">
        <v>642</v>
      </c>
      <c r="C713" t="s">
        <v>64</v>
      </c>
      <c r="D713" t="s">
        <v>1222</v>
      </c>
    </row>
    <row r="714" spans="1:4" x14ac:dyDescent="0.3">
      <c r="A714" t="s">
        <v>113</v>
      </c>
      <c r="B714" t="s">
        <v>642</v>
      </c>
      <c r="C714" t="s">
        <v>64</v>
      </c>
      <c r="D714" t="s">
        <v>1393</v>
      </c>
    </row>
    <row r="715" spans="1:4" x14ac:dyDescent="0.3">
      <c r="A715" t="s">
        <v>113</v>
      </c>
      <c r="B715" t="s">
        <v>642</v>
      </c>
      <c r="C715" t="s">
        <v>64</v>
      </c>
      <c r="D715" t="s">
        <v>1564</v>
      </c>
    </row>
    <row r="716" spans="1:4" x14ac:dyDescent="0.3">
      <c r="A716" t="s">
        <v>113</v>
      </c>
      <c r="B716" t="s">
        <v>642</v>
      </c>
      <c r="C716" t="s">
        <v>73</v>
      </c>
      <c r="D716" t="s">
        <v>387</v>
      </c>
    </row>
    <row r="717" spans="1:4" x14ac:dyDescent="0.3">
      <c r="A717" t="s">
        <v>113</v>
      </c>
      <c r="B717" t="s">
        <v>642</v>
      </c>
      <c r="C717" t="s">
        <v>73</v>
      </c>
      <c r="D717" t="s">
        <v>2193</v>
      </c>
    </row>
    <row r="718" spans="1:4" x14ac:dyDescent="0.3">
      <c r="A718" t="s">
        <v>113</v>
      </c>
      <c r="B718" t="s">
        <v>642</v>
      </c>
      <c r="C718" t="s">
        <v>73</v>
      </c>
      <c r="D718" t="s">
        <v>730</v>
      </c>
    </row>
    <row r="719" spans="1:4" x14ac:dyDescent="0.3">
      <c r="A719" t="s">
        <v>113</v>
      </c>
      <c r="B719" t="s">
        <v>642</v>
      </c>
      <c r="C719" t="s">
        <v>73</v>
      </c>
      <c r="D719" t="s">
        <v>892</v>
      </c>
    </row>
    <row r="720" spans="1:4" x14ac:dyDescent="0.3">
      <c r="A720" t="s">
        <v>113</v>
      </c>
      <c r="B720" t="s">
        <v>642</v>
      </c>
      <c r="C720" t="s">
        <v>73</v>
      </c>
      <c r="D720" t="s">
        <v>1058</v>
      </c>
    </row>
    <row r="721" spans="1:4" x14ac:dyDescent="0.3">
      <c r="A721" t="s">
        <v>113</v>
      </c>
      <c r="B721" t="s">
        <v>642</v>
      </c>
      <c r="C721" t="s">
        <v>73</v>
      </c>
      <c r="D721" t="s">
        <v>1229</v>
      </c>
    </row>
    <row r="722" spans="1:4" x14ac:dyDescent="0.3">
      <c r="A722" t="s">
        <v>113</v>
      </c>
      <c r="B722" t="s">
        <v>642</v>
      </c>
      <c r="C722" t="s">
        <v>73</v>
      </c>
      <c r="D722" t="s">
        <v>1400</v>
      </c>
    </row>
    <row r="723" spans="1:4" x14ac:dyDescent="0.3">
      <c r="A723" t="s">
        <v>113</v>
      </c>
      <c r="B723" t="s">
        <v>642</v>
      </c>
      <c r="C723" t="s">
        <v>73</v>
      </c>
      <c r="D723" t="s">
        <v>1571</v>
      </c>
    </row>
    <row r="724" spans="1:4" x14ac:dyDescent="0.3">
      <c r="A724" t="s">
        <v>113</v>
      </c>
      <c r="B724" t="s">
        <v>642</v>
      </c>
      <c r="C724" t="s">
        <v>61</v>
      </c>
      <c r="D724" t="s">
        <v>394</v>
      </c>
    </row>
    <row r="725" spans="1:4" x14ac:dyDescent="0.3">
      <c r="A725" t="s">
        <v>113</v>
      </c>
      <c r="B725" t="s">
        <v>642</v>
      </c>
      <c r="C725" t="s">
        <v>61</v>
      </c>
      <c r="D725" t="s">
        <v>565</v>
      </c>
    </row>
    <row r="726" spans="1:4" x14ac:dyDescent="0.3">
      <c r="A726" t="s">
        <v>113</v>
      </c>
      <c r="B726" t="s">
        <v>642</v>
      </c>
      <c r="C726" t="s">
        <v>61</v>
      </c>
      <c r="D726" t="s">
        <v>737</v>
      </c>
    </row>
    <row r="727" spans="1:4" x14ac:dyDescent="0.3">
      <c r="A727" t="s">
        <v>113</v>
      </c>
      <c r="B727" t="s">
        <v>642</v>
      </c>
      <c r="C727" t="s">
        <v>61</v>
      </c>
      <c r="D727" t="s">
        <v>899</v>
      </c>
    </row>
    <row r="728" spans="1:4" x14ac:dyDescent="0.3">
      <c r="A728" t="s">
        <v>113</v>
      </c>
      <c r="B728" t="s">
        <v>642</v>
      </c>
      <c r="C728" t="s">
        <v>61</v>
      </c>
      <c r="D728" t="s">
        <v>1065</v>
      </c>
    </row>
    <row r="729" spans="1:4" x14ac:dyDescent="0.3">
      <c r="A729" t="s">
        <v>113</v>
      </c>
      <c r="B729" t="s">
        <v>642</v>
      </c>
      <c r="C729" t="s">
        <v>61</v>
      </c>
      <c r="D729" t="s">
        <v>1236</v>
      </c>
    </row>
    <row r="730" spans="1:4" x14ac:dyDescent="0.3">
      <c r="A730" t="s">
        <v>113</v>
      </c>
      <c r="B730" t="s">
        <v>642</v>
      </c>
      <c r="C730" t="s">
        <v>61</v>
      </c>
      <c r="D730" t="s">
        <v>2194</v>
      </c>
    </row>
    <row r="731" spans="1:4" x14ac:dyDescent="0.3">
      <c r="A731" t="s">
        <v>113</v>
      </c>
      <c r="B731" t="s">
        <v>642</v>
      </c>
      <c r="C731" t="s">
        <v>61</v>
      </c>
      <c r="D731" t="s">
        <v>2195</v>
      </c>
    </row>
    <row r="732" spans="1:4" x14ac:dyDescent="0.3">
      <c r="A732" t="s">
        <v>113</v>
      </c>
      <c r="B732" t="s">
        <v>642</v>
      </c>
      <c r="C732" t="s">
        <v>67</v>
      </c>
      <c r="D732" t="s">
        <v>401</v>
      </c>
    </row>
    <row r="733" spans="1:4" x14ac:dyDescent="0.3">
      <c r="A733" t="s">
        <v>113</v>
      </c>
      <c r="B733" t="s">
        <v>642</v>
      </c>
      <c r="C733" t="s">
        <v>67</v>
      </c>
      <c r="D733" t="s">
        <v>572</v>
      </c>
    </row>
    <row r="734" spans="1:4" x14ac:dyDescent="0.3">
      <c r="A734" t="s">
        <v>113</v>
      </c>
      <c r="B734" t="s">
        <v>642</v>
      </c>
      <c r="C734" t="s">
        <v>67</v>
      </c>
      <c r="D734" t="s">
        <v>717</v>
      </c>
    </row>
    <row r="735" spans="1:4" x14ac:dyDescent="0.3">
      <c r="A735" t="s">
        <v>113</v>
      </c>
      <c r="B735" t="s">
        <v>642</v>
      </c>
      <c r="C735" t="s">
        <v>67</v>
      </c>
      <c r="D735" t="s">
        <v>906</v>
      </c>
    </row>
    <row r="736" spans="1:4" x14ac:dyDescent="0.3">
      <c r="A736" t="s">
        <v>113</v>
      </c>
      <c r="B736" t="s">
        <v>642</v>
      </c>
      <c r="C736" t="s">
        <v>67</v>
      </c>
      <c r="D736" t="s">
        <v>1072</v>
      </c>
    </row>
    <row r="737" spans="1:4" x14ac:dyDescent="0.3">
      <c r="A737" t="s">
        <v>113</v>
      </c>
      <c r="B737" t="s">
        <v>642</v>
      </c>
      <c r="C737" t="s">
        <v>67</v>
      </c>
      <c r="D737" t="s">
        <v>2196</v>
      </c>
    </row>
    <row r="738" spans="1:4" x14ac:dyDescent="0.3">
      <c r="A738" t="s">
        <v>113</v>
      </c>
      <c r="B738" t="s">
        <v>642</v>
      </c>
      <c r="C738" t="s">
        <v>67</v>
      </c>
      <c r="D738" t="s">
        <v>1414</v>
      </c>
    </row>
    <row r="739" spans="1:4" x14ac:dyDescent="0.3">
      <c r="A739" t="s">
        <v>113</v>
      </c>
      <c r="B739" t="s">
        <v>642</v>
      </c>
      <c r="C739" t="s">
        <v>67</v>
      </c>
      <c r="D739" t="s">
        <v>2197</v>
      </c>
    </row>
    <row r="740" spans="1:4" x14ac:dyDescent="0.3">
      <c r="A740" t="s">
        <v>113</v>
      </c>
      <c r="B740" t="s">
        <v>101</v>
      </c>
      <c r="C740" t="s">
        <v>64</v>
      </c>
      <c r="D740" t="s">
        <v>377</v>
      </c>
    </row>
    <row r="741" spans="1:4" x14ac:dyDescent="0.3">
      <c r="A741" t="s">
        <v>113</v>
      </c>
      <c r="B741" t="s">
        <v>101</v>
      </c>
      <c r="C741" t="s">
        <v>64</v>
      </c>
      <c r="D741" t="s">
        <v>547</v>
      </c>
    </row>
    <row r="742" spans="1:4" x14ac:dyDescent="0.3">
      <c r="A742" t="s">
        <v>113</v>
      </c>
      <c r="B742" t="s">
        <v>101</v>
      </c>
      <c r="C742" t="s">
        <v>64</v>
      </c>
      <c r="D742" t="s">
        <v>719</v>
      </c>
    </row>
    <row r="743" spans="1:4" x14ac:dyDescent="0.3">
      <c r="A743" t="s">
        <v>113</v>
      </c>
      <c r="B743" t="s">
        <v>101</v>
      </c>
      <c r="C743" t="s">
        <v>64</v>
      </c>
      <c r="D743" t="s">
        <v>881</v>
      </c>
    </row>
    <row r="744" spans="1:4" x14ac:dyDescent="0.3">
      <c r="A744" t="s">
        <v>113</v>
      </c>
      <c r="B744" t="s">
        <v>101</v>
      </c>
      <c r="C744" t="s">
        <v>64</v>
      </c>
      <c r="D744" t="s">
        <v>1047</v>
      </c>
    </row>
    <row r="745" spans="1:4" x14ac:dyDescent="0.3">
      <c r="A745" t="s">
        <v>113</v>
      </c>
      <c r="B745" t="s">
        <v>101</v>
      </c>
      <c r="C745" t="s">
        <v>64</v>
      </c>
      <c r="D745" t="s">
        <v>1218</v>
      </c>
    </row>
    <row r="746" spans="1:4" x14ac:dyDescent="0.3">
      <c r="A746" t="s">
        <v>113</v>
      </c>
      <c r="B746" t="s">
        <v>101</v>
      </c>
      <c r="C746" t="s">
        <v>64</v>
      </c>
      <c r="D746" t="s">
        <v>1389</v>
      </c>
    </row>
    <row r="747" spans="1:4" x14ac:dyDescent="0.3">
      <c r="A747" t="s">
        <v>113</v>
      </c>
      <c r="B747" t="s">
        <v>101</v>
      </c>
      <c r="C747" t="s">
        <v>64</v>
      </c>
      <c r="D747" t="s">
        <v>1560</v>
      </c>
    </row>
    <row r="748" spans="1:4" x14ac:dyDescent="0.3">
      <c r="A748" t="s">
        <v>113</v>
      </c>
      <c r="B748" t="s">
        <v>101</v>
      </c>
      <c r="C748" t="s">
        <v>73</v>
      </c>
      <c r="D748" t="s">
        <v>82</v>
      </c>
    </row>
    <row r="749" spans="1:4" x14ac:dyDescent="0.3">
      <c r="A749" t="s">
        <v>113</v>
      </c>
      <c r="B749" t="s">
        <v>101</v>
      </c>
      <c r="C749" t="s">
        <v>73</v>
      </c>
      <c r="D749" t="s">
        <v>554</v>
      </c>
    </row>
    <row r="750" spans="1:4" x14ac:dyDescent="0.3">
      <c r="A750" t="s">
        <v>113</v>
      </c>
      <c r="B750" t="s">
        <v>101</v>
      </c>
      <c r="C750" t="s">
        <v>73</v>
      </c>
      <c r="D750" t="s">
        <v>726</v>
      </c>
    </row>
    <row r="751" spans="1:4" x14ac:dyDescent="0.3">
      <c r="A751" t="s">
        <v>113</v>
      </c>
      <c r="B751" t="s">
        <v>101</v>
      </c>
      <c r="C751" t="s">
        <v>73</v>
      </c>
      <c r="D751" t="s">
        <v>888</v>
      </c>
    </row>
    <row r="752" spans="1:4" x14ac:dyDescent="0.3">
      <c r="A752" t="s">
        <v>113</v>
      </c>
      <c r="B752" t="s">
        <v>101</v>
      </c>
      <c r="C752" t="s">
        <v>73</v>
      </c>
      <c r="D752" t="s">
        <v>1054</v>
      </c>
    </row>
    <row r="753" spans="1:4" x14ac:dyDescent="0.3">
      <c r="A753" t="s">
        <v>113</v>
      </c>
      <c r="B753" t="s">
        <v>101</v>
      </c>
      <c r="C753" t="s">
        <v>73</v>
      </c>
      <c r="D753" t="s">
        <v>1225</v>
      </c>
    </row>
    <row r="754" spans="1:4" x14ac:dyDescent="0.3">
      <c r="A754" t="s">
        <v>113</v>
      </c>
      <c r="B754" t="s">
        <v>101</v>
      </c>
      <c r="C754" t="s">
        <v>73</v>
      </c>
      <c r="D754" t="s">
        <v>1396</v>
      </c>
    </row>
    <row r="755" spans="1:4" x14ac:dyDescent="0.3">
      <c r="A755" t="s">
        <v>113</v>
      </c>
      <c r="B755" t="s">
        <v>101</v>
      </c>
      <c r="C755" t="s">
        <v>73</v>
      </c>
      <c r="D755" t="s">
        <v>1567</v>
      </c>
    </row>
    <row r="756" spans="1:4" x14ac:dyDescent="0.3">
      <c r="A756" t="s">
        <v>113</v>
      </c>
      <c r="B756" t="s">
        <v>101</v>
      </c>
      <c r="C756" t="s">
        <v>61</v>
      </c>
      <c r="D756" t="s">
        <v>2198</v>
      </c>
    </row>
    <row r="757" spans="1:4" x14ac:dyDescent="0.3">
      <c r="A757" t="s">
        <v>113</v>
      </c>
      <c r="B757" t="s">
        <v>101</v>
      </c>
      <c r="C757" t="s">
        <v>61</v>
      </c>
      <c r="D757" t="s">
        <v>2199</v>
      </c>
    </row>
    <row r="758" spans="1:4" x14ac:dyDescent="0.3">
      <c r="A758" t="s">
        <v>113</v>
      </c>
      <c r="B758" t="s">
        <v>101</v>
      </c>
      <c r="C758" t="s">
        <v>61</v>
      </c>
      <c r="D758" t="s">
        <v>733</v>
      </c>
    </row>
    <row r="759" spans="1:4" x14ac:dyDescent="0.3">
      <c r="A759" t="s">
        <v>113</v>
      </c>
      <c r="B759" t="s">
        <v>101</v>
      </c>
      <c r="C759" t="s">
        <v>61</v>
      </c>
      <c r="D759" t="s">
        <v>2200</v>
      </c>
    </row>
    <row r="760" spans="1:4" x14ac:dyDescent="0.3">
      <c r="A760" t="s">
        <v>113</v>
      </c>
      <c r="B760" t="s">
        <v>101</v>
      </c>
      <c r="C760" t="s">
        <v>61</v>
      </c>
      <c r="D760" t="s">
        <v>2201</v>
      </c>
    </row>
    <row r="761" spans="1:4" x14ac:dyDescent="0.3">
      <c r="A761" t="s">
        <v>113</v>
      </c>
      <c r="B761" t="s">
        <v>101</v>
      </c>
      <c r="C761" t="s">
        <v>61</v>
      </c>
      <c r="D761" t="s">
        <v>2202</v>
      </c>
    </row>
    <row r="762" spans="1:4" x14ac:dyDescent="0.3">
      <c r="A762" t="s">
        <v>113</v>
      </c>
      <c r="B762" t="s">
        <v>101</v>
      </c>
      <c r="C762" t="s">
        <v>61</v>
      </c>
      <c r="D762" t="s">
        <v>2203</v>
      </c>
    </row>
    <row r="763" spans="1:4" x14ac:dyDescent="0.3">
      <c r="A763" t="s">
        <v>113</v>
      </c>
      <c r="B763" t="s">
        <v>101</v>
      </c>
      <c r="C763" t="s">
        <v>61</v>
      </c>
      <c r="D763" t="s">
        <v>1574</v>
      </c>
    </row>
    <row r="764" spans="1:4" x14ac:dyDescent="0.3">
      <c r="A764" t="s">
        <v>113</v>
      </c>
      <c r="B764" t="s">
        <v>101</v>
      </c>
      <c r="C764" t="s">
        <v>67</v>
      </c>
      <c r="D764" t="s">
        <v>2204</v>
      </c>
    </row>
    <row r="765" spans="1:4" x14ac:dyDescent="0.3">
      <c r="A765" t="s">
        <v>113</v>
      </c>
      <c r="B765" t="s">
        <v>101</v>
      </c>
      <c r="C765" t="s">
        <v>67</v>
      </c>
      <c r="D765" t="s">
        <v>2205</v>
      </c>
    </row>
    <row r="766" spans="1:4" x14ac:dyDescent="0.3">
      <c r="A766" t="s">
        <v>113</v>
      </c>
      <c r="B766" t="s">
        <v>101</v>
      </c>
      <c r="C766" t="s">
        <v>67</v>
      </c>
      <c r="D766" t="s">
        <v>2206</v>
      </c>
    </row>
    <row r="767" spans="1:4" x14ac:dyDescent="0.3">
      <c r="A767" t="s">
        <v>113</v>
      </c>
      <c r="B767" t="s">
        <v>101</v>
      </c>
      <c r="C767" t="s">
        <v>67</v>
      </c>
      <c r="D767" t="s">
        <v>902</v>
      </c>
    </row>
    <row r="768" spans="1:4" x14ac:dyDescent="0.3">
      <c r="A768" t="s">
        <v>113</v>
      </c>
      <c r="B768" t="s">
        <v>101</v>
      </c>
      <c r="C768" t="s">
        <v>67</v>
      </c>
      <c r="D768" t="s">
        <v>2207</v>
      </c>
    </row>
    <row r="769" spans="1:4" x14ac:dyDescent="0.3">
      <c r="A769" t="s">
        <v>113</v>
      </c>
      <c r="B769" t="s">
        <v>101</v>
      </c>
      <c r="C769" t="s">
        <v>67</v>
      </c>
      <c r="D769" t="s">
        <v>2208</v>
      </c>
    </row>
    <row r="770" spans="1:4" x14ac:dyDescent="0.3">
      <c r="A770" t="s">
        <v>113</v>
      </c>
      <c r="B770" t="s">
        <v>101</v>
      </c>
      <c r="C770" t="s">
        <v>67</v>
      </c>
      <c r="D770" t="s">
        <v>2209</v>
      </c>
    </row>
    <row r="771" spans="1:4" x14ac:dyDescent="0.3">
      <c r="A771" t="s">
        <v>113</v>
      </c>
      <c r="B771" t="s">
        <v>101</v>
      </c>
      <c r="C771" t="s">
        <v>67</v>
      </c>
      <c r="D771" t="s">
        <v>1581</v>
      </c>
    </row>
    <row r="772" spans="1:4" x14ac:dyDescent="0.3">
      <c r="A772" t="s">
        <v>113</v>
      </c>
      <c r="B772" t="s">
        <v>810</v>
      </c>
      <c r="C772" t="s">
        <v>64</v>
      </c>
      <c r="D772" t="s">
        <v>2210</v>
      </c>
    </row>
    <row r="773" spans="1:4" x14ac:dyDescent="0.3">
      <c r="A773" t="s">
        <v>113</v>
      </c>
      <c r="B773" t="s">
        <v>810</v>
      </c>
      <c r="C773" t="s">
        <v>64</v>
      </c>
      <c r="D773" t="s">
        <v>2211</v>
      </c>
    </row>
    <row r="774" spans="1:4" x14ac:dyDescent="0.3">
      <c r="A774" t="s">
        <v>113</v>
      </c>
      <c r="B774" t="s">
        <v>810</v>
      </c>
      <c r="C774" t="s">
        <v>64</v>
      </c>
      <c r="D774" t="s">
        <v>2212</v>
      </c>
    </row>
    <row r="775" spans="1:4" x14ac:dyDescent="0.3">
      <c r="A775" t="s">
        <v>113</v>
      </c>
      <c r="B775" t="s">
        <v>810</v>
      </c>
      <c r="C775" t="s">
        <v>64</v>
      </c>
      <c r="D775" t="s">
        <v>2213</v>
      </c>
    </row>
    <row r="776" spans="1:4" x14ac:dyDescent="0.3">
      <c r="A776" t="s">
        <v>113</v>
      </c>
      <c r="B776" t="s">
        <v>810</v>
      </c>
      <c r="C776" t="s">
        <v>64</v>
      </c>
      <c r="D776" t="s">
        <v>2214</v>
      </c>
    </row>
    <row r="777" spans="1:4" x14ac:dyDescent="0.3">
      <c r="A777" t="s">
        <v>113</v>
      </c>
      <c r="B777" t="s">
        <v>810</v>
      </c>
      <c r="C777" t="s">
        <v>64</v>
      </c>
      <c r="D777" t="s">
        <v>2215</v>
      </c>
    </row>
    <row r="778" spans="1:4" x14ac:dyDescent="0.3">
      <c r="A778" t="s">
        <v>113</v>
      </c>
      <c r="B778" t="s">
        <v>810</v>
      </c>
      <c r="C778" t="s">
        <v>64</v>
      </c>
      <c r="D778" t="s">
        <v>2216</v>
      </c>
    </row>
    <row r="779" spans="1:4" x14ac:dyDescent="0.3">
      <c r="A779" t="s">
        <v>113</v>
      </c>
      <c r="B779" t="s">
        <v>810</v>
      </c>
      <c r="C779" t="s">
        <v>64</v>
      </c>
      <c r="D779" t="s">
        <v>2217</v>
      </c>
    </row>
    <row r="780" spans="1:4" x14ac:dyDescent="0.3">
      <c r="A780" t="s">
        <v>113</v>
      </c>
      <c r="B780" t="s">
        <v>810</v>
      </c>
      <c r="C780" t="s">
        <v>73</v>
      </c>
      <c r="D780" t="s">
        <v>2218</v>
      </c>
    </row>
    <row r="781" spans="1:4" x14ac:dyDescent="0.3">
      <c r="A781" t="s">
        <v>113</v>
      </c>
      <c r="B781" t="s">
        <v>810</v>
      </c>
      <c r="C781" t="s">
        <v>73</v>
      </c>
      <c r="D781" t="s">
        <v>2219</v>
      </c>
    </row>
    <row r="782" spans="1:4" x14ac:dyDescent="0.3">
      <c r="A782" t="s">
        <v>113</v>
      </c>
      <c r="B782" t="s">
        <v>810</v>
      </c>
      <c r="C782" t="s">
        <v>73</v>
      </c>
      <c r="D782" t="s">
        <v>2220</v>
      </c>
    </row>
    <row r="783" spans="1:4" x14ac:dyDescent="0.3">
      <c r="A783" t="s">
        <v>113</v>
      </c>
      <c r="B783" t="s">
        <v>810</v>
      </c>
      <c r="C783" t="s">
        <v>73</v>
      </c>
      <c r="D783" t="s">
        <v>2221</v>
      </c>
    </row>
    <row r="784" spans="1:4" x14ac:dyDescent="0.3">
      <c r="A784" t="s">
        <v>113</v>
      </c>
      <c r="B784" t="s">
        <v>810</v>
      </c>
      <c r="C784" t="s">
        <v>73</v>
      </c>
      <c r="D784" t="s">
        <v>2222</v>
      </c>
    </row>
    <row r="785" spans="1:4" x14ac:dyDescent="0.3">
      <c r="A785" t="s">
        <v>113</v>
      </c>
      <c r="B785" t="s">
        <v>810</v>
      </c>
      <c r="C785" t="s">
        <v>73</v>
      </c>
      <c r="D785" t="s">
        <v>2223</v>
      </c>
    </row>
    <row r="786" spans="1:4" x14ac:dyDescent="0.3">
      <c r="A786" t="s">
        <v>113</v>
      </c>
      <c r="B786" t="s">
        <v>810</v>
      </c>
      <c r="C786" t="s">
        <v>73</v>
      </c>
      <c r="D786" t="s">
        <v>2224</v>
      </c>
    </row>
    <row r="787" spans="1:4" x14ac:dyDescent="0.3">
      <c r="A787" t="s">
        <v>113</v>
      </c>
      <c r="B787" t="s">
        <v>810</v>
      </c>
      <c r="C787" t="s">
        <v>73</v>
      </c>
      <c r="D787" t="s">
        <v>2225</v>
      </c>
    </row>
    <row r="788" spans="1:4" x14ac:dyDescent="0.3">
      <c r="A788" t="s">
        <v>113</v>
      </c>
      <c r="B788" t="s">
        <v>810</v>
      </c>
      <c r="C788" t="s">
        <v>73</v>
      </c>
      <c r="D788" t="s">
        <v>2226</v>
      </c>
    </row>
    <row r="789" spans="1:4" x14ac:dyDescent="0.3">
      <c r="A789" t="s">
        <v>113</v>
      </c>
      <c r="B789" t="s">
        <v>810</v>
      </c>
      <c r="C789" t="s">
        <v>61</v>
      </c>
      <c r="D789" t="s">
        <v>2227</v>
      </c>
    </row>
    <row r="790" spans="1:4" x14ac:dyDescent="0.3">
      <c r="A790" t="s">
        <v>113</v>
      </c>
      <c r="B790" t="s">
        <v>810</v>
      </c>
      <c r="C790" t="s">
        <v>61</v>
      </c>
      <c r="D790" t="s">
        <v>2228</v>
      </c>
    </row>
    <row r="791" spans="1:4" x14ac:dyDescent="0.3">
      <c r="A791" t="s">
        <v>113</v>
      </c>
      <c r="B791" t="s">
        <v>810</v>
      </c>
      <c r="C791" t="s">
        <v>61</v>
      </c>
      <c r="D791" t="s">
        <v>2229</v>
      </c>
    </row>
    <row r="792" spans="1:4" x14ac:dyDescent="0.3">
      <c r="A792" t="s">
        <v>113</v>
      </c>
      <c r="B792" t="s">
        <v>810</v>
      </c>
      <c r="C792" t="s">
        <v>61</v>
      </c>
      <c r="D792" t="s">
        <v>2230</v>
      </c>
    </row>
    <row r="793" spans="1:4" x14ac:dyDescent="0.3">
      <c r="A793" t="s">
        <v>113</v>
      </c>
      <c r="B793" t="s">
        <v>810</v>
      </c>
      <c r="C793" t="s">
        <v>61</v>
      </c>
      <c r="D793" t="s">
        <v>2231</v>
      </c>
    </row>
    <row r="794" spans="1:4" x14ac:dyDescent="0.3">
      <c r="A794" t="s">
        <v>113</v>
      </c>
      <c r="B794" t="s">
        <v>810</v>
      </c>
      <c r="C794" t="s">
        <v>61</v>
      </c>
      <c r="D794" t="s">
        <v>2232</v>
      </c>
    </row>
    <row r="795" spans="1:4" x14ac:dyDescent="0.3">
      <c r="A795" t="s">
        <v>113</v>
      </c>
      <c r="B795" t="s">
        <v>810</v>
      </c>
      <c r="C795" t="s">
        <v>61</v>
      </c>
      <c r="D795" t="s">
        <v>2233</v>
      </c>
    </row>
    <row r="796" spans="1:4" x14ac:dyDescent="0.3">
      <c r="A796" t="s">
        <v>113</v>
      </c>
      <c r="B796" t="s">
        <v>810</v>
      </c>
      <c r="C796" t="s">
        <v>61</v>
      </c>
      <c r="D796" t="s">
        <v>2234</v>
      </c>
    </row>
    <row r="797" spans="1:4" x14ac:dyDescent="0.3">
      <c r="A797" t="s">
        <v>113</v>
      </c>
      <c r="B797" t="s">
        <v>810</v>
      </c>
      <c r="C797" t="s">
        <v>67</v>
      </c>
      <c r="D797" t="s">
        <v>2235</v>
      </c>
    </row>
    <row r="798" spans="1:4" x14ac:dyDescent="0.3">
      <c r="A798" t="s">
        <v>113</v>
      </c>
      <c r="B798" t="s">
        <v>810</v>
      </c>
      <c r="C798" t="s">
        <v>67</v>
      </c>
      <c r="D798" t="s">
        <v>2236</v>
      </c>
    </row>
    <row r="799" spans="1:4" x14ac:dyDescent="0.3">
      <c r="A799" t="s">
        <v>113</v>
      </c>
      <c r="B799" t="s">
        <v>810</v>
      </c>
      <c r="C799" t="s">
        <v>67</v>
      </c>
      <c r="D799" t="s">
        <v>2237</v>
      </c>
    </row>
    <row r="800" spans="1:4" x14ac:dyDescent="0.3">
      <c r="A800" t="s">
        <v>113</v>
      </c>
      <c r="B800" t="s">
        <v>810</v>
      </c>
      <c r="C800" t="s">
        <v>67</v>
      </c>
      <c r="D800" t="s">
        <v>2238</v>
      </c>
    </row>
    <row r="801" spans="1:4" x14ac:dyDescent="0.3">
      <c r="A801" t="s">
        <v>113</v>
      </c>
      <c r="B801" t="s">
        <v>810</v>
      </c>
      <c r="C801" t="s">
        <v>67</v>
      </c>
      <c r="D801" t="s">
        <v>2239</v>
      </c>
    </row>
    <row r="802" spans="1:4" x14ac:dyDescent="0.3">
      <c r="A802" t="s">
        <v>113</v>
      </c>
      <c r="B802" t="s">
        <v>810</v>
      </c>
      <c r="C802" t="s">
        <v>67</v>
      </c>
      <c r="D802" t="s">
        <v>2240</v>
      </c>
    </row>
    <row r="803" spans="1:4" x14ac:dyDescent="0.3">
      <c r="A803" t="s">
        <v>113</v>
      </c>
      <c r="B803" t="s">
        <v>810</v>
      </c>
      <c r="C803" t="s">
        <v>67</v>
      </c>
      <c r="D803" t="s">
        <v>2241</v>
      </c>
    </row>
    <row r="804" spans="1:4" x14ac:dyDescent="0.3">
      <c r="A804" t="s">
        <v>113</v>
      </c>
      <c r="B804" t="s">
        <v>810</v>
      </c>
      <c r="C804" t="s">
        <v>67</v>
      </c>
      <c r="D804" t="s">
        <v>2242</v>
      </c>
    </row>
    <row r="805" spans="1:4" x14ac:dyDescent="0.3">
      <c r="A805" t="s">
        <v>114</v>
      </c>
      <c r="B805" t="s">
        <v>100</v>
      </c>
      <c r="C805" t="s">
        <v>64</v>
      </c>
      <c r="D805" t="s">
        <v>1416</v>
      </c>
    </row>
    <row r="806" spans="1:4" x14ac:dyDescent="0.3">
      <c r="A806" t="s">
        <v>114</v>
      </c>
      <c r="B806" t="s">
        <v>100</v>
      </c>
      <c r="C806" t="s">
        <v>64</v>
      </c>
      <c r="D806" t="s">
        <v>1586</v>
      </c>
    </row>
    <row r="807" spans="1:4" x14ac:dyDescent="0.3">
      <c r="A807" t="s">
        <v>114</v>
      </c>
      <c r="B807" t="s">
        <v>100</v>
      </c>
      <c r="C807" t="s">
        <v>73</v>
      </c>
      <c r="D807" t="s">
        <v>410</v>
      </c>
    </row>
    <row r="808" spans="1:4" x14ac:dyDescent="0.3">
      <c r="A808" t="s">
        <v>114</v>
      </c>
      <c r="B808" t="s">
        <v>100</v>
      </c>
      <c r="C808" t="s">
        <v>73</v>
      </c>
      <c r="D808" t="s">
        <v>581</v>
      </c>
    </row>
    <row r="809" spans="1:4" x14ac:dyDescent="0.3">
      <c r="A809" t="s">
        <v>114</v>
      </c>
      <c r="B809" t="s">
        <v>100</v>
      </c>
      <c r="C809" t="s">
        <v>73</v>
      </c>
      <c r="D809" t="s">
        <v>752</v>
      </c>
    </row>
    <row r="810" spans="1:4" x14ac:dyDescent="0.3">
      <c r="A810" t="s">
        <v>114</v>
      </c>
      <c r="B810" t="s">
        <v>100</v>
      </c>
      <c r="C810" t="s">
        <v>73</v>
      </c>
      <c r="D810" t="s">
        <v>914</v>
      </c>
    </row>
    <row r="811" spans="1:4" x14ac:dyDescent="0.3">
      <c r="A811" t="s">
        <v>114</v>
      </c>
      <c r="B811" t="s">
        <v>100</v>
      </c>
      <c r="C811" t="s">
        <v>73</v>
      </c>
      <c r="D811" t="s">
        <v>1081</v>
      </c>
    </row>
    <row r="812" spans="1:4" x14ac:dyDescent="0.3">
      <c r="A812" t="s">
        <v>114</v>
      </c>
      <c r="B812" t="s">
        <v>100</v>
      </c>
      <c r="C812" t="s">
        <v>73</v>
      </c>
      <c r="D812" t="s">
        <v>1252</v>
      </c>
    </row>
    <row r="813" spans="1:4" x14ac:dyDescent="0.3">
      <c r="A813" t="s">
        <v>114</v>
      </c>
      <c r="B813" t="s">
        <v>100</v>
      </c>
      <c r="C813" t="s">
        <v>73</v>
      </c>
      <c r="D813" t="s">
        <v>1423</v>
      </c>
    </row>
    <row r="814" spans="1:4" x14ac:dyDescent="0.3">
      <c r="A814" t="s">
        <v>114</v>
      </c>
      <c r="B814" t="s">
        <v>100</v>
      </c>
      <c r="C814" t="s">
        <v>73</v>
      </c>
      <c r="D814" t="s">
        <v>1593</v>
      </c>
    </row>
    <row r="815" spans="1:4" x14ac:dyDescent="0.3">
      <c r="A815" t="s">
        <v>114</v>
      </c>
      <c r="B815" t="s">
        <v>100</v>
      </c>
      <c r="C815" t="s">
        <v>61</v>
      </c>
      <c r="D815" t="s">
        <v>2243</v>
      </c>
    </row>
    <row r="816" spans="1:4" x14ac:dyDescent="0.3">
      <c r="A816" t="s">
        <v>114</v>
      </c>
      <c r="B816" t="s">
        <v>100</v>
      </c>
      <c r="C816" t="s">
        <v>61</v>
      </c>
      <c r="D816" t="s">
        <v>2244</v>
      </c>
    </row>
    <row r="817" spans="1:4" x14ac:dyDescent="0.3">
      <c r="A817" t="s">
        <v>114</v>
      </c>
      <c r="B817" t="s">
        <v>100</v>
      </c>
      <c r="C817" t="s">
        <v>61</v>
      </c>
      <c r="D817" t="s">
        <v>2245</v>
      </c>
    </row>
    <row r="818" spans="1:4" x14ac:dyDescent="0.3">
      <c r="A818" t="s">
        <v>114</v>
      </c>
      <c r="B818" t="s">
        <v>100</v>
      </c>
      <c r="C818" t="s">
        <v>61</v>
      </c>
      <c r="D818" t="s">
        <v>2246</v>
      </c>
    </row>
    <row r="819" spans="1:4" x14ac:dyDescent="0.3">
      <c r="A819" t="s">
        <v>114</v>
      </c>
      <c r="B819" t="s">
        <v>100</v>
      </c>
      <c r="C819" t="s">
        <v>61</v>
      </c>
      <c r="D819" t="s">
        <v>2247</v>
      </c>
    </row>
    <row r="820" spans="1:4" x14ac:dyDescent="0.3">
      <c r="A820" t="s">
        <v>114</v>
      </c>
      <c r="B820" t="s">
        <v>100</v>
      </c>
      <c r="C820" t="s">
        <v>61</v>
      </c>
      <c r="D820" t="s">
        <v>2248</v>
      </c>
    </row>
    <row r="821" spans="1:4" x14ac:dyDescent="0.3">
      <c r="A821" t="s">
        <v>114</v>
      </c>
      <c r="B821" t="s">
        <v>100</v>
      </c>
      <c r="C821" t="s">
        <v>61</v>
      </c>
      <c r="D821" t="s">
        <v>2249</v>
      </c>
    </row>
    <row r="822" spans="1:4" x14ac:dyDescent="0.3">
      <c r="A822" t="s">
        <v>114</v>
      </c>
      <c r="B822" t="s">
        <v>100</v>
      </c>
      <c r="C822" t="s">
        <v>61</v>
      </c>
      <c r="D822" t="s">
        <v>2250</v>
      </c>
    </row>
    <row r="823" spans="1:4" x14ac:dyDescent="0.3">
      <c r="A823" t="s">
        <v>114</v>
      </c>
      <c r="B823" t="s">
        <v>100</v>
      </c>
      <c r="C823" t="s">
        <v>67</v>
      </c>
      <c r="D823" t="s">
        <v>2251</v>
      </c>
    </row>
    <row r="824" spans="1:4" x14ac:dyDescent="0.3">
      <c r="A824" t="s">
        <v>114</v>
      </c>
      <c r="B824" t="s">
        <v>100</v>
      </c>
      <c r="C824" t="s">
        <v>67</v>
      </c>
      <c r="D824" t="s">
        <v>2252</v>
      </c>
    </row>
    <row r="825" spans="1:4" x14ac:dyDescent="0.3">
      <c r="A825" t="s">
        <v>114</v>
      </c>
      <c r="B825" t="s">
        <v>100</v>
      </c>
      <c r="C825" t="s">
        <v>67</v>
      </c>
      <c r="D825" t="s">
        <v>2253</v>
      </c>
    </row>
    <row r="826" spans="1:4" x14ac:dyDescent="0.3">
      <c r="A826" t="s">
        <v>114</v>
      </c>
      <c r="B826" t="s">
        <v>100</v>
      </c>
      <c r="C826" t="s">
        <v>67</v>
      </c>
      <c r="D826" t="s">
        <v>2254</v>
      </c>
    </row>
    <row r="827" spans="1:4" x14ac:dyDescent="0.3">
      <c r="A827" t="s">
        <v>114</v>
      </c>
      <c r="B827" t="s">
        <v>100</v>
      </c>
      <c r="C827" t="s">
        <v>67</v>
      </c>
      <c r="D827" t="s">
        <v>2255</v>
      </c>
    </row>
    <row r="828" spans="1:4" x14ac:dyDescent="0.3">
      <c r="A828" t="s">
        <v>114</v>
      </c>
      <c r="B828" t="s">
        <v>100</v>
      </c>
      <c r="C828" t="s">
        <v>67</v>
      </c>
      <c r="D828" t="s">
        <v>2256</v>
      </c>
    </row>
    <row r="829" spans="1:4" x14ac:dyDescent="0.3">
      <c r="A829" t="s">
        <v>114</v>
      </c>
      <c r="B829" t="s">
        <v>100</v>
      </c>
      <c r="C829" t="s">
        <v>67</v>
      </c>
      <c r="D829" t="s">
        <v>2257</v>
      </c>
    </row>
    <row r="830" spans="1:4" x14ac:dyDescent="0.3">
      <c r="A830" t="s">
        <v>114</v>
      </c>
      <c r="B830" t="s">
        <v>100</v>
      </c>
      <c r="C830" t="s">
        <v>67</v>
      </c>
      <c r="D830" t="s">
        <v>2258</v>
      </c>
    </row>
    <row r="831" spans="1:4" x14ac:dyDescent="0.3">
      <c r="A831" t="s">
        <v>114</v>
      </c>
      <c r="B831" t="s">
        <v>99</v>
      </c>
      <c r="C831" t="s">
        <v>64</v>
      </c>
      <c r="D831" t="s">
        <v>405</v>
      </c>
    </row>
    <row r="832" spans="1:4" x14ac:dyDescent="0.3">
      <c r="A832" t="s">
        <v>114</v>
      </c>
      <c r="B832" t="s">
        <v>99</v>
      </c>
      <c r="C832" t="s">
        <v>64</v>
      </c>
      <c r="D832" t="s">
        <v>576</v>
      </c>
    </row>
    <row r="833" spans="1:4" x14ac:dyDescent="0.3">
      <c r="A833" t="s">
        <v>114</v>
      </c>
      <c r="B833" t="s">
        <v>99</v>
      </c>
      <c r="C833" t="s">
        <v>64</v>
      </c>
      <c r="D833" t="s">
        <v>747</v>
      </c>
    </row>
    <row r="834" spans="1:4" x14ac:dyDescent="0.3">
      <c r="A834" t="s">
        <v>114</v>
      </c>
      <c r="B834" t="s">
        <v>99</v>
      </c>
      <c r="C834" t="s">
        <v>64</v>
      </c>
      <c r="D834" t="s">
        <v>909</v>
      </c>
    </row>
    <row r="835" spans="1:4" x14ac:dyDescent="0.3">
      <c r="A835" t="s">
        <v>114</v>
      </c>
      <c r="B835" t="s">
        <v>99</v>
      </c>
      <c r="C835" t="s">
        <v>64</v>
      </c>
      <c r="D835" t="s">
        <v>1076</v>
      </c>
    </row>
    <row r="836" spans="1:4" x14ac:dyDescent="0.3">
      <c r="A836" t="s">
        <v>114</v>
      </c>
      <c r="B836" t="s">
        <v>99</v>
      </c>
      <c r="C836" t="s">
        <v>64</v>
      </c>
      <c r="D836" t="s">
        <v>1247</v>
      </c>
    </row>
    <row r="837" spans="1:4" x14ac:dyDescent="0.3">
      <c r="A837" t="s">
        <v>114</v>
      </c>
      <c r="B837" t="s">
        <v>99</v>
      </c>
      <c r="C837" t="s">
        <v>64</v>
      </c>
      <c r="D837" t="s">
        <v>1418</v>
      </c>
    </row>
    <row r="838" spans="1:4" x14ac:dyDescent="0.3">
      <c r="A838" t="s">
        <v>114</v>
      </c>
      <c r="B838" t="s">
        <v>99</v>
      </c>
      <c r="C838" t="s">
        <v>64</v>
      </c>
      <c r="D838" t="s">
        <v>1588</v>
      </c>
    </row>
    <row r="839" spans="1:4" x14ac:dyDescent="0.3">
      <c r="A839" t="s">
        <v>114</v>
      </c>
      <c r="B839" t="s">
        <v>99</v>
      </c>
      <c r="C839" t="s">
        <v>73</v>
      </c>
      <c r="D839" t="s">
        <v>412</v>
      </c>
    </row>
    <row r="840" spans="1:4" x14ac:dyDescent="0.3">
      <c r="A840" t="s">
        <v>114</v>
      </c>
      <c r="B840" t="s">
        <v>99</v>
      </c>
      <c r="C840" t="s">
        <v>73</v>
      </c>
      <c r="D840" t="s">
        <v>583</v>
      </c>
    </row>
    <row r="841" spans="1:4" x14ac:dyDescent="0.3">
      <c r="A841" t="s">
        <v>114</v>
      </c>
      <c r="B841" t="s">
        <v>99</v>
      </c>
      <c r="C841" t="s">
        <v>73</v>
      </c>
      <c r="D841" t="s">
        <v>754</v>
      </c>
    </row>
    <row r="842" spans="1:4" x14ac:dyDescent="0.3">
      <c r="A842" t="s">
        <v>114</v>
      </c>
      <c r="B842" t="s">
        <v>99</v>
      </c>
      <c r="C842" t="s">
        <v>73</v>
      </c>
      <c r="D842" t="s">
        <v>916</v>
      </c>
    </row>
    <row r="843" spans="1:4" x14ac:dyDescent="0.3">
      <c r="A843" t="s">
        <v>114</v>
      </c>
      <c r="B843" t="s">
        <v>99</v>
      </c>
      <c r="C843" t="s">
        <v>73</v>
      </c>
      <c r="D843" t="s">
        <v>1083</v>
      </c>
    </row>
    <row r="844" spans="1:4" x14ac:dyDescent="0.3">
      <c r="A844" t="s">
        <v>114</v>
      </c>
      <c r="B844" t="s">
        <v>99</v>
      </c>
      <c r="C844" t="s">
        <v>73</v>
      </c>
      <c r="D844" t="s">
        <v>2259</v>
      </c>
    </row>
    <row r="845" spans="1:4" x14ac:dyDescent="0.3">
      <c r="A845" t="s">
        <v>114</v>
      </c>
      <c r="B845" t="s">
        <v>99</v>
      </c>
      <c r="C845" t="s">
        <v>73</v>
      </c>
      <c r="D845" t="s">
        <v>1425</v>
      </c>
    </row>
    <row r="846" spans="1:4" x14ac:dyDescent="0.3">
      <c r="A846" t="s">
        <v>114</v>
      </c>
      <c r="B846" t="s">
        <v>99</v>
      </c>
      <c r="C846" t="s">
        <v>73</v>
      </c>
      <c r="D846" t="s">
        <v>2260</v>
      </c>
    </row>
    <row r="847" spans="1:4" x14ac:dyDescent="0.3">
      <c r="A847" t="s">
        <v>114</v>
      </c>
      <c r="B847" t="s">
        <v>99</v>
      </c>
      <c r="C847" t="s">
        <v>61</v>
      </c>
      <c r="D847" t="s">
        <v>2261</v>
      </c>
    </row>
    <row r="848" spans="1:4" x14ac:dyDescent="0.3">
      <c r="A848" t="s">
        <v>114</v>
      </c>
      <c r="B848" t="s">
        <v>99</v>
      </c>
      <c r="C848" t="s">
        <v>61</v>
      </c>
      <c r="D848" t="s">
        <v>2262</v>
      </c>
    </row>
    <row r="849" spans="1:4" x14ac:dyDescent="0.3">
      <c r="A849" t="s">
        <v>114</v>
      </c>
      <c r="B849" t="s">
        <v>99</v>
      </c>
      <c r="C849" t="s">
        <v>61</v>
      </c>
      <c r="D849" t="s">
        <v>2263</v>
      </c>
    </row>
    <row r="850" spans="1:4" x14ac:dyDescent="0.3">
      <c r="A850" t="s">
        <v>114</v>
      </c>
      <c r="B850" t="s">
        <v>99</v>
      </c>
      <c r="C850" t="s">
        <v>61</v>
      </c>
      <c r="D850" t="s">
        <v>2264</v>
      </c>
    </row>
    <row r="851" spans="1:4" x14ac:dyDescent="0.3">
      <c r="A851" t="s">
        <v>114</v>
      </c>
      <c r="B851" t="s">
        <v>99</v>
      </c>
      <c r="C851" t="s">
        <v>61</v>
      </c>
      <c r="D851" t="s">
        <v>2265</v>
      </c>
    </row>
    <row r="852" spans="1:4" x14ac:dyDescent="0.3">
      <c r="A852" t="s">
        <v>114</v>
      </c>
      <c r="B852" t="s">
        <v>99</v>
      </c>
      <c r="C852" t="s">
        <v>61</v>
      </c>
      <c r="D852" t="s">
        <v>2266</v>
      </c>
    </row>
    <row r="853" spans="1:4" x14ac:dyDescent="0.3">
      <c r="A853" t="s">
        <v>114</v>
      </c>
      <c r="B853" t="s">
        <v>99</v>
      </c>
      <c r="C853" t="s">
        <v>61</v>
      </c>
      <c r="D853" t="s">
        <v>2267</v>
      </c>
    </row>
    <row r="854" spans="1:4" x14ac:dyDescent="0.3">
      <c r="A854" t="s">
        <v>114</v>
      </c>
      <c r="B854" t="s">
        <v>99</v>
      </c>
      <c r="C854" t="s">
        <v>61</v>
      </c>
      <c r="D854" t="s">
        <v>2268</v>
      </c>
    </row>
    <row r="855" spans="1:4" x14ac:dyDescent="0.3">
      <c r="A855" t="s">
        <v>114</v>
      </c>
      <c r="B855" t="s">
        <v>99</v>
      </c>
      <c r="C855" t="s">
        <v>67</v>
      </c>
      <c r="D855" t="s">
        <v>2269</v>
      </c>
    </row>
    <row r="856" spans="1:4" x14ac:dyDescent="0.3">
      <c r="A856" t="s">
        <v>114</v>
      </c>
      <c r="B856" t="s">
        <v>99</v>
      </c>
      <c r="C856" t="s">
        <v>67</v>
      </c>
      <c r="D856" t="s">
        <v>2270</v>
      </c>
    </row>
    <row r="857" spans="1:4" x14ac:dyDescent="0.3">
      <c r="A857" t="s">
        <v>114</v>
      </c>
      <c r="B857" t="s">
        <v>99</v>
      </c>
      <c r="C857" t="s">
        <v>67</v>
      </c>
      <c r="D857" t="s">
        <v>2271</v>
      </c>
    </row>
    <row r="858" spans="1:4" x14ac:dyDescent="0.3">
      <c r="A858" t="s">
        <v>114</v>
      </c>
      <c r="B858" t="s">
        <v>99</v>
      </c>
      <c r="C858" t="s">
        <v>67</v>
      </c>
      <c r="D858" t="s">
        <v>2272</v>
      </c>
    </row>
    <row r="859" spans="1:4" x14ac:dyDescent="0.3">
      <c r="A859" t="s">
        <v>114</v>
      </c>
      <c r="B859" t="s">
        <v>99</v>
      </c>
      <c r="C859" t="s">
        <v>67</v>
      </c>
      <c r="D859" t="s">
        <v>2273</v>
      </c>
    </row>
    <row r="860" spans="1:4" x14ac:dyDescent="0.3">
      <c r="A860" t="s">
        <v>114</v>
      </c>
      <c r="B860" t="s">
        <v>99</v>
      </c>
      <c r="C860" t="s">
        <v>67</v>
      </c>
      <c r="D860" t="s">
        <v>2274</v>
      </c>
    </row>
    <row r="861" spans="1:4" x14ac:dyDescent="0.3">
      <c r="A861" t="s">
        <v>114</v>
      </c>
      <c r="B861" t="s">
        <v>99</v>
      </c>
      <c r="C861" t="s">
        <v>67</v>
      </c>
      <c r="D861" t="s">
        <v>2275</v>
      </c>
    </row>
    <row r="862" spans="1:4" x14ac:dyDescent="0.3">
      <c r="A862" t="s">
        <v>114</v>
      </c>
      <c r="B862" t="s">
        <v>99</v>
      </c>
      <c r="C862" t="s">
        <v>67</v>
      </c>
      <c r="D862" t="s">
        <v>2276</v>
      </c>
    </row>
    <row r="863" spans="1:4" x14ac:dyDescent="0.3">
      <c r="A863" t="s">
        <v>114</v>
      </c>
      <c r="B863" t="s">
        <v>60</v>
      </c>
      <c r="C863" t="s">
        <v>64</v>
      </c>
      <c r="D863" t="s">
        <v>2277</v>
      </c>
    </row>
    <row r="864" spans="1:4" x14ac:dyDescent="0.3">
      <c r="A864" t="s">
        <v>114</v>
      </c>
      <c r="B864" t="s">
        <v>60</v>
      </c>
      <c r="C864" t="s">
        <v>64</v>
      </c>
      <c r="D864" t="s">
        <v>2278</v>
      </c>
    </row>
    <row r="865" spans="1:4" x14ac:dyDescent="0.3">
      <c r="A865" t="s">
        <v>114</v>
      </c>
      <c r="B865" t="s">
        <v>60</v>
      </c>
      <c r="C865" t="s">
        <v>64</v>
      </c>
      <c r="D865" t="s">
        <v>2279</v>
      </c>
    </row>
    <row r="866" spans="1:4" x14ac:dyDescent="0.3">
      <c r="A866" t="s">
        <v>114</v>
      </c>
      <c r="B866" t="s">
        <v>60</v>
      </c>
      <c r="C866" t="s">
        <v>64</v>
      </c>
      <c r="D866" t="s">
        <v>2280</v>
      </c>
    </row>
    <row r="867" spans="1:4" x14ac:dyDescent="0.3">
      <c r="A867" t="s">
        <v>114</v>
      </c>
      <c r="B867" t="s">
        <v>60</v>
      </c>
      <c r="C867" t="s">
        <v>64</v>
      </c>
      <c r="D867" t="s">
        <v>2281</v>
      </c>
    </row>
    <row r="868" spans="1:4" x14ac:dyDescent="0.3">
      <c r="A868" t="s">
        <v>114</v>
      </c>
      <c r="B868" t="s">
        <v>60</v>
      </c>
      <c r="C868" t="s">
        <v>64</v>
      </c>
      <c r="D868" t="s">
        <v>2282</v>
      </c>
    </row>
    <row r="869" spans="1:4" x14ac:dyDescent="0.3">
      <c r="A869" t="s">
        <v>114</v>
      </c>
      <c r="B869" t="s">
        <v>60</v>
      </c>
      <c r="C869" t="s">
        <v>64</v>
      </c>
      <c r="D869" t="s">
        <v>2283</v>
      </c>
    </row>
    <row r="870" spans="1:4" x14ac:dyDescent="0.3">
      <c r="A870" t="s">
        <v>114</v>
      </c>
      <c r="B870" t="s">
        <v>60</v>
      </c>
      <c r="C870" t="s">
        <v>64</v>
      </c>
      <c r="D870" t="s">
        <v>2284</v>
      </c>
    </row>
    <row r="871" spans="1:4" x14ac:dyDescent="0.3">
      <c r="A871" t="s">
        <v>114</v>
      </c>
      <c r="B871" t="s">
        <v>60</v>
      </c>
      <c r="C871" t="s">
        <v>73</v>
      </c>
      <c r="D871" t="s">
        <v>2285</v>
      </c>
    </row>
    <row r="872" spans="1:4" x14ac:dyDescent="0.3">
      <c r="A872" t="s">
        <v>114</v>
      </c>
      <c r="B872" t="s">
        <v>60</v>
      </c>
      <c r="C872" t="s">
        <v>73</v>
      </c>
      <c r="D872" t="s">
        <v>2286</v>
      </c>
    </row>
    <row r="873" spans="1:4" x14ac:dyDescent="0.3">
      <c r="A873" t="s">
        <v>114</v>
      </c>
      <c r="B873" t="s">
        <v>60</v>
      </c>
      <c r="C873" t="s">
        <v>73</v>
      </c>
      <c r="D873" t="s">
        <v>2287</v>
      </c>
    </row>
    <row r="874" spans="1:4" x14ac:dyDescent="0.3">
      <c r="A874" t="s">
        <v>114</v>
      </c>
      <c r="B874" t="s">
        <v>60</v>
      </c>
      <c r="C874" t="s">
        <v>73</v>
      </c>
      <c r="D874" t="s">
        <v>2288</v>
      </c>
    </row>
    <row r="875" spans="1:4" x14ac:dyDescent="0.3">
      <c r="A875" t="s">
        <v>114</v>
      </c>
      <c r="B875" t="s">
        <v>60</v>
      </c>
      <c r="C875" t="s">
        <v>73</v>
      </c>
      <c r="D875" t="s">
        <v>2289</v>
      </c>
    </row>
    <row r="876" spans="1:4" x14ac:dyDescent="0.3">
      <c r="A876" t="s">
        <v>114</v>
      </c>
      <c r="B876" t="s">
        <v>60</v>
      </c>
      <c r="C876" t="s">
        <v>73</v>
      </c>
      <c r="D876" t="s">
        <v>2290</v>
      </c>
    </row>
    <row r="877" spans="1:4" x14ac:dyDescent="0.3">
      <c r="A877" t="s">
        <v>114</v>
      </c>
      <c r="B877" t="s">
        <v>60</v>
      </c>
      <c r="C877" t="s">
        <v>73</v>
      </c>
      <c r="D877" t="s">
        <v>2291</v>
      </c>
    </row>
    <row r="878" spans="1:4" x14ac:dyDescent="0.3">
      <c r="A878" t="s">
        <v>114</v>
      </c>
      <c r="B878" t="s">
        <v>60</v>
      </c>
      <c r="C878" t="s">
        <v>73</v>
      </c>
      <c r="D878" t="s">
        <v>2292</v>
      </c>
    </row>
    <row r="879" spans="1:4" x14ac:dyDescent="0.3">
      <c r="A879" t="s">
        <v>114</v>
      </c>
      <c r="B879" t="s">
        <v>60</v>
      </c>
      <c r="C879" t="s">
        <v>61</v>
      </c>
      <c r="D879" t="s">
        <v>2293</v>
      </c>
    </row>
    <row r="880" spans="1:4" x14ac:dyDescent="0.3">
      <c r="A880" t="s">
        <v>114</v>
      </c>
      <c r="B880" t="s">
        <v>60</v>
      </c>
      <c r="C880" t="s">
        <v>61</v>
      </c>
      <c r="D880" t="s">
        <v>2294</v>
      </c>
    </row>
    <row r="881" spans="1:4" x14ac:dyDescent="0.3">
      <c r="A881" t="s">
        <v>114</v>
      </c>
      <c r="B881" t="s">
        <v>60</v>
      </c>
      <c r="C881" t="s">
        <v>61</v>
      </c>
      <c r="D881" t="s">
        <v>2295</v>
      </c>
    </row>
    <row r="882" spans="1:4" x14ac:dyDescent="0.3">
      <c r="A882" t="s">
        <v>114</v>
      </c>
      <c r="B882" t="s">
        <v>60</v>
      </c>
      <c r="C882" t="s">
        <v>61</v>
      </c>
      <c r="D882" t="s">
        <v>2296</v>
      </c>
    </row>
    <row r="883" spans="1:4" x14ac:dyDescent="0.3">
      <c r="A883" t="s">
        <v>114</v>
      </c>
      <c r="B883" t="s">
        <v>60</v>
      </c>
      <c r="C883" t="s">
        <v>61</v>
      </c>
      <c r="D883" t="s">
        <v>2297</v>
      </c>
    </row>
    <row r="884" spans="1:4" x14ac:dyDescent="0.3">
      <c r="A884" t="s">
        <v>114</v>
      </c>
      <c r="B884" t="s">
        <v>60</v>
      </c>
      <c r="C884" t="s">
        <v>61</v>
      </c>
      <c r="D884" t="s">
        <v>2298</v>
      </c>
    </row>
    <row r="885" spans="1:4" x14ac:dyDescent="0.3">
      <c r="A885" t="s">
        <v>114</v>
      </c>
      <c r="B885" t="s">
        <v>60</v>
      </c>
      <c r="C885" t="s">
        <v>61</v>
      </c>
      <c r="D885" t="s">
        <v>2299</v>
      </c>
    </row>
    <row r="886" spans="1:4" x14ac:dyDescent="0.3">
      <c r="A886" t="s">
        <v>114</v>
      </c>
      <c r="B886" t="s">
        <v>60</v>
      </c>
      <c r="C886" t="s">
        <v>61</v>
      </c>
      <c r="D886" t="s">
        <v>2300</v>
      </c>
    </row>
    <row r="887" spans="1:4" x14ac:dyDescent="0.3">
      <c r="A887" t="s">
        <v>114</v>
      </c>
      <c r="B887" t="s">
        <v>60</v>
      </c>
      <c r="C887" t="s">
        <v>67</v>
      </c>
      <c r="D887" t="s">
        <v>2301</v>
      </c>
    </row>
    <row r="888" spans="1:4" x14ac:dyDescent="0.3">
      <c r="A888" t="s">
        <v>114</v>
      </c>
      <c r="B888" t="s">
        <v>60</v>
      </c>
      <c r="C888" t="s">
        <v>67</v>
      </c>
      <c r="D888" t="s">
        <v>2302</v>
      </c>
    </row>
    <row r="889" spans="1:4" x14ac:dyDescent="0.3">
      <c r="A889" t="s">
        <v>114</v>
      </c>
      <c r="B889" t="s">
        <v>60</v>
      </c>
      <c r="C889" t="s">
        <v>67</v>
      </c>
      <c r="D889" t="s">
        <v>2303</v>
      </c>
    </row>
    <row r="890" spans="1:4" x14ac:dyDescent="0.3">
      <c r="A890" t="s">
        <v>114</v>
      </c>
      <c r="B890" t="s">
        <v>60</v>
      </c>
      <c r="C890" t="s">
        <v>67</v>
      </c>
      <c r="D890" t="s">
        <v>2304</v>
      </c>
    </row>
    <row r="891" spans="1:4" x14ac:dyDescent="0.3">
      <c r="A891" t="s">
        <v>114</v>
      </c>
      <c r="B891" t="s">
        <v>60</v>
      </c>
      <c r="C891" t="s">
        <v>67</v>
      </c>
      <c r="D891" t="s">
        <v>2305</v>
      </c>
    </row>
    <row r="892" spans="1:4" x14ac:dyDescent="0.3">
      <c r="A892" t="s">
        <v>114</v>
      </c>
      <c r="B892" t="s">
        <v>60</v>
      </c>
      <c r="C892" t="s">
        <v>67</v>
      </c>
      <c r="D892" t="s">
        <v>2306</v>
      </c>
    </row>
    <row r="893" spans="1:4" x14ac:dyDescent="0.3">
      <c r="A893" t="s">
        <v>114</v>
      </c>
      <c r="B893" t="s">
        <v>60</v>
      </c>
      <c r="C893" t="s">
        <v>67</v>
      </c>
      <c r="D893" t="s">
        <v>2307</v>
      </c>
    </row>
    <row r="894" spans="1:4" x14ac:dyDescent="0.3">
      <c r="A894" t="s">
        <v>114</v>
      </c>
      <c r="B894" t="s">
        <v>60</v>
      </c>
      <c r="C894" t="s">
        <v>67</v>
      </c>
      <c r="D894" t="s">
        <v>2308</v>
      </c>
    </row>
    <row r="895" spans="1:4" x14ac:dyDescent="0.3">
      <c r="A895" t="s">
        <v>114</v>
      </c>
      <c r="B895" t="s">
        <v>469</v>
      </c>
      <c r="C895" t="s">
        <v>64</v>
      </c>
      <c r="D895" t="s">
        <v>2309</v>
      </c>
    </row>
    <row r="896" spans="1:4" x14ac:dyDescent="0.3">
      <c r="A896" t="s">
        <v>114</v>
      </c>
      <c r="B896" t="s">
        <v>469</v>
      </c>
      <c r="C896" t="s">
        <v>64</v>
      </c>
      <c r="D896" t="s">
        <v>2310</v>
      </c>
    </row>
    <row r="897" spans="1:4" x14ac:dyDescent="0.3">
      <c r="A897" t="s">
        <v>114</v>
      </c>
      <c r="B897" t="s">
        <v>469</v>
      </c>
      <c r="C897" t="s">
        <v>64</v>
      </c>
      <c r="D897" t="s">
        <v>2311</v>
      </c>
    </row>
    <row r="898" spans="1:4" x14ac:dyDescent="0.3">
      <c r="A898" t="s">
        <v>114</v>
      </c>
      <c r="B898" t="s">
        <v>469</v>
      </c>
      <c r="C898" t="s">
        <v>64</v>
      </c>
      <c r="D898" t="s">
        <v>2312</v>
      </c>
    </row>
    <row r="899" spans="1:4" x14ac:dyDescent="0.3">
      <c r="A899" t="s">
        <v>114</v>
      </c>
      <c r="B899" t="s">
        <v>469</v>
      </c>
      <c r="C899" t="s">
        <v>64</v>
      </c>
      <c r="D899" t="s">
        <v>2313</v>
      </c>
    </row>
    <row r="900" spans="1:4" x14ac:dyDescent="0.3">
      <c r="A900" t="s">
        <v>114</v>
      </c>
      <c r="B900" t="s">
        <v>469</v>
      </c>
      <c r="C900" t="s">
        <v>64</v>
      </c>
      <c r="D900" t="s">
        <v>2314</v>
      </c>
    </row>
    <row r="901" spans="1:4" x14ac:dyDescent="0.3">
      <c r="A901" t="s">
        <v>114</v>
      </c>
      <c r="B901" t="s">
        <v>469</v>
      </c>
      <c r="C901" t="s">
        <v>64</v>
      </c>
      <c r="D901" t="s">
        <v>2315</v>
      </c>
    </row>
    <row r="902" spans="1:4" x14ac:dyDescent="0.3">
      <c r="A902" t="s">
        <v>114</v>
      </c>
      <c r="B902" t="s">
        <v>469</v>
      </c>
      <c r="C902" t="s">
        <v>64</v>
      </c>
      <c r="D902" t="s">
        <v>2316</v>
      </c>
    </row>
    <row r="903" spans="1:4" x14ac:dyDescent="0.3">
      <c r="A903" t="s">
        <v>114</v>
      </c>
      <c r="B903" t="s">
        <v>469</v>
      </c>
      <c r="C903" t="s">
        <v>73</v>
      </c>
      <c r="D903" t="s">
        <v>2317</v>
      </c>
    </row>
    <row r="904" spans="1:4" x14ac:dyDescent="0.3">
      <c r="A904" t="s">
        <v>114</v>
      </c>
      <c r="B904" t="s">
        <v>469</v>
      </c>
      <c r="C904" t="s">
        <v>73</v>
      </c>
      <c r="D904" t="s">
        <v>2318</v>
      </c>
    </row>
    <row r="905" spans="1:4" x14ac:dyDescent="0.3">
      <c r="A905" t="s">
        <v>114</v>
      </c>
      <c r="B905" t="s">
        <v>469</v>
      </c>
      <c r="C905" t="s">
        <v>73</v>
      </c>
      <c r="D905" t="s">
        <v>2319</v>
      </c>
    </row>
    <row r="906" spans="1:4" x14ac:dyDescent="0.3">
      <c r="A906" t="s">
        <v>114</v>
      </c>
      <c r="B906" t="s">
        <v>469</v>
      </c>
      <c r="C906" t="s">
        <v>73</v>
      </c>
      <c r="D906" t="s">
        <v>2320</v>
      </c>
    </row>
    <row r="907" spans="1:4" x14ac:dyDescent="0.3">
      <c r="A907" t="s">
        <v>114</v>
      </c>
      <c r="B907" t="s">
        <v>469</v>
      </c>
      <c r="C907" t="s">
        <v>73</v>
      </c>
      <c r="D907" t="s">
        <v>2321</v>
      </c>
    </row>
    <row r="908" spans="1:4" x14ac:dyDescent="0.3">
      <c r="A908" t="s">
        <v>114</v>
      </c>
      <c r="B908" t="s">
        <v>469</v>
      </c>
      <c r="C908" t="s">
        <v>73</v>
      </c>
      <c r="D908" t="s">
        <v>2322</v>
      </c>
    </row>
    <row r="909" spans="1:4" x14ac:dyDescent="0.3">
      <c r="A909" t="s">
        <v>114</v>
      </c>
      <c r="B909" t="s">
        <v>469</v>
      </c>
      <c r="C909" t="s">
        <v>73</v>
      </c>
      <c r="D909" t="s">
        <v>2323</v>
      </c>
    </row>
    <row r="910" spans="1:4" x14ac:dyDescent="0.3">
      <c r="A910" t="s">
        <v>114</v>
      </c>
      <c r="B910" t="s">
        <v>469</v>
      </c>
      <c r="C910" t="s">
        <v>73</v>
      </c>
      <c r="D910" t="s">
        <v>2324</v>
      </c>
    </row>
    <row r="911" spans="1:4" x14ac:dyDescent="0.3">
      <c r="A911" t="s">
        <v>114</v>
      </c>
      <c r="B911" t="s">
        <v>469</v>
      </c>
      <c r="C911" t="s">
        <v>61</v>
      </c>
      <c r="D911" t="s">
        <v>2325</v>
      </c>
    </row>
    <row r="912" spans="1:4" x14ac:dyDescent="0.3">
      <c r="A912" t="s">
        <v>114</v>
      </c>
      <c r="B912" t="s">
        <v>469</v>
      </c>
      <c r="C912" t="s">
        <v>61</v>
      </c>
      <c r="D912" t="s">
        <v>2326</v>
      </c>
    </row>
    <row r="913" spans="1:4" x14ac:dyDescent="0.3">
      <c r="A913" t="s">
        <v>114</v>
      </c>
      <c r="B913" t="s">
        <v>469</v>
      </c>
      <c r="C913" t="s">
        <v>61</v>
      </c>
      <c r="D913" t="s">
        <v>2327</v>
      </c>
    </row>
    <row r="914" spans="1:4" x14ac:dyDescent="0.3">
      <c r="A914" t="s">
        <v>114</v>
      </c>
      <c r="B914" t="s">
        <v>469</v>
      </c>
      <c r="C914" t="s">
        <v>61</v>
      </c>
      <c r="D914" t="s">
        <v>2328</v>
      </c>
    </row>
    <row r="915" spans="1:4" x14ac:dyDescent="0.3">
      <c r="A915" t="s">
        <v>114</v>
      </c>
      <c r="B915" t="s">
        <v>469</v>
      </c>
      <c r="C915" t="s">
        <v>61</v>
      </c>
      <c r="D915" t="s">
        <v>2329</v>
      </c>
    </row>
    <row r="916" spans="1:4" x14ac:dyDescent="0.3">
      <c r="A916" t="s">
        <v>114</v>
      </c>
      <c r="B916" t="s">
        <v>469</v>
      </c>
      <c r="C916" t="s">
        <v>61</v>
      </c>
      <c r="D916" t="s">
        <v>2330</v>
      </c>
    </row>
    <row r="917" spans="1:4" x14ac:dyDescent="0.3">
      <c r="A917" t="s">
        <v>114</v>
      </c>
      <c r="B917" t="s">
        <v>469</v>
      </c>
      <c r="C917" t="s">
        <v>61</v>
      </c>
      <c r="D917" t="s">
        <v>2331</v>
      </c>
    </row>
    <row r="918" spans="1:4" x14ac:dyDescent="0.3">
      <c r="A918" t="s">
        <v>114</v>
      </c>
      <c r="B918" t="s">
        <v>469</v>
      </c>
      <c r="C918" t="s">
        <v>61</v>
      </c>
      <c r="D918" t="s">
        <v>2332</v>
      </c>
    </row>
    <row r="919" spans="1:4" x14ac:dyDescent="0.3">
      <c r="A919" t="s">
        <v>114</v>
      </c>
      <c r="B919" t="s">
        <v>469</v>
      </c>
      <c r="C919" t="s">
        <v>67</v>
      </c>
      <c r="D919" t="s">
        <v>2333</v>
      </c>
    </row>
    <row r="920" spans="1:4" x14ac:dyDescent="0.3">
      <c r="A920" t="s">
        <v>114</v>
      </c>
      <c r="B920" t="s">
        <v>469</v>
      </c>
      <c r="C920" t="s">
        <v>67</v>
      </c>
      <c r="D920" t="s">
        <v>2334</v>
      </c>
    </row>
    <row r="921" spans="1:4" x14ac:dyDescent="0.3">
      <c r="A921" t="s">
        <v>114</v>
      </c>
      <c r="B921" t="s">
        <v>469</v>
      </c>
      <c r="C921" t="s">
        <v>67</v>
      </c>
      <c r="D921" t="s">
        <v>2335</v>
      </c>
    </row>
    <row r="922" spans="1:4" x14ac:dyDescent="0.3">
      <c r="A922" t="s">
        <v>114</v>
      </c>
      <c r="B922" t="s">
        <v>469</v>
      </c>
      <c r="C922" t="s">
        <v>67</v>
      </c>
      <c r="D922" t="s">
        <v>2336</v>
      </c>
    </row>
    <row r="923" spans="1:4" x14ac:dyDescent="0.3">
      <c r="A923" t="s">
        <v>114</v>
      </c>
      <c r="B923" t="s">
        <v>469</v>
      </c>
      <c r="C923" t="s">
        <v>67</v>
      </c>
      <c r="D923" t="s">
        <v>2337</v>
      </c>
    </row>
    <row r="924" spans="1:4" x14ac:dyDescent="0.3">
      <c r="A924" t="s">
        <v>114</v>
      </c>
      <c r="B924" t="s">
        <v>469</v>
      </c>
      <c r="C924" t="s">
        <v>67</v>
      </c>
      <c r="D924" t="s">
        <v>2338</v>
      </c>
    </row>
    <row r="925" spans="1:4" x14ac:dyDescent="0.3">
      <c r="A925" t="s">
        <v>114</v>
      </c>
      <c r="B925" t="s">
        <v>469</v>
      </c>
      <c r="C925" t="s">
        <v>67</v>
      </c>
      <c r="D925" t="s">
        <v>2339</v>
      </c>
    </row>
    <row r="926" spans="1:4" x14ac:dyDescent="0.3">
      <c r="A926" t="s">
        <v>114</v>
      </c>
      <c r="B926" t="s">
        <v>469</v>
      </c>
      <c r="C926" t="s">
        <v>67</v>
      </c>
      <c r="D926" t="s">
        <v>2340</v>
      </c>
    </row>
    <row r="927" spans="1:4" x14ac:dyDescent="0.3">
      <c r="A927" t="s">
        <v>114</v>
      </c>
      <c r="B927" t="s">
        <v>642</v>
      </c>
      <c r="C927" t="s">
        <v>64</v>
      </c>
      <c r="D927" t="s">
        <v>408</v>
      </c>
    </row>
    <row r="928" spans="1:4" x14ac:dyDescent="0.3">
      <c r="A928" t="s">
        <v>114</v>
      </c>
      <c r="B928" t="s">
        <v>642</v>
      </c>
      <c r="C928" t="s">
        <v>64</v>
      </c>
      <c r="D928" t="s">
        <v>579</v>
      </c>
    </row>
    <row r="929" spans="1:4" x14ac:dyDescent="0.3">
      <c r="A929" t="s">
        <v>114</v>
      </c>
      <c r="B929" t="s">
        <v>642</v>
      </c>
      <c r="C929" t="s">
        <v>64</v>
      </c>
      <c r="D929" t="s">
        <v>750</v>
      </c>
    </row>
    <row r="930" spans="1:4" x14ac:dyDescent="0.3">
      <c r="A930" t="s">
        <v>114</v>
      </c>
      <c r="B930" t="s">
        <v>642</v>
      </c>
      <c r="C930" t="s">
        <v>64</v>
      </c>
      <c r="D930" t="s">
        <v>912</v>
      </c>
    </row>
    <row r="931" spans="1:4" x14ac:dyDescent="0.3">
      <c r="A931" t="s">
        <v>114</v>
      </c>
      <c r="B931" t="s">
        <v>642</v>
      </c>
      <c r="C931" t="s">
        <v>64</v>
      </c>
      <c r="D931" t="s">
        <v>1079</v>
      </c>
    </row>
    <row r="932" spans="1:4" x14ac:dyDescent="0.3">
      <c r="A932" t="s">
        <v>114</v>
      </c>
      <c r="B932" t="s">
        <v>642</v>
      </c>
      <c r="C932" t="s">
        <v>64</v>
      </c>
      <c r="D932" t="s">
        <v>1250</v>
      </c>
    </row>
    <row r="933" spans="1:4" x14ac:dyDescent="0.3">
      <c r="A933" t="s">
        <v>114</v>
      </c>
      <c r="B933" t="s">
        <v>642</v>
      </c>
      <c r="C933" t="s">
        <v>64</v>
      </c>
      <c r="D933" t="s">
        <v>1421</v>
      </c>
    </row>
    <row r="934" spans="1:4" x14ac:dyDescent="0.3">
      <c r="A934" t="s">
        <v>114</v>
      </c>
      <c r="B934" t="s">
        <v>642</v>
      </c>
      <c r="C934" t="s">
        <v>64</v>
      </c>
      <c r="D934" t="s">
        <v>1591</v>
      </c>
    </row>
    <row r="935" spans="1:4" x14ac:dyDescent="0.3">
      <c r="A935" t="s">
        <v>114</v>
      </c>
      <c r="B935" t="s">
        <v>642</v>
      </c>
      <c r="C935" t="s">
        <v>73</v>
      </c>
      <c r="D935" t="s">
        <v>415</v>
      </c>
    </row>
    <row r="936" spans="1:4" x14ac:dyDescent="0.3">
      <c r="A936" t="s">
        <v>114</v>
      </c>
      <c r="B936" t="s">
        <v>642</v>
      </c>
      <c r="C936" t="s">
        <v>73</v>
      </c>
      <c r="D936" t="s">
        <v>586</v>
      </c>
    </row>
    <row r="937" spans="1:4" x14ac:dyDescent="0.3">
      <c r="A937" t="s">
        <v>114</v>
      </c>
      <c r="B937" t="s">
        <v>642</v>
      </c>
      <c r="C937" t="s">
        <v>73</v>
      </c>
      <c r="D937" t="s">
        <v>757</v>
      </c>
    </row>
    <row r="938" spans="1:4" x14ac:dyDescent="0.3">
      <c r="A938" t="s">
        <v>114</v>
      </c>
      <c r="B938" t="s">
        <v>642</v>
      </c>
      <c r="C938" t="s">
        <v>73</v>
      </c>
      <c r="D938" t="s">
        <v>919</v>
      </c>
    </row>
    <row r="939" spans="1:4" x14ac:dyDescent="0.3">
      <c r="A939" t="s">
        <v>114</v>
      </c>
      <c r="B939" t="s">
        <v>642</v>
      </c>
      <c r="C939" t="s">
        <v>73</v>
      </c>
      <c r="D939" t="s">
        <v>1086</v>
      </c>
    </row>
    <row r="940" spans="1:4" x14ac:dyDescent="0.3">
      <c r="A940" t="s">
        <v>114</v>
      </c>
      <c r="B940" t="s">
        <v>642</v>
      </c>
      <c r="C940" t="s">
        <v>73</v>
      </c>
      <c r="D940" t="s">
        <v>1257</v>
      </c>
    </row>
    <row r="941" spans="1:4" x14ac:dyDescent="0.3">
      <c r="A941" t="s">
        <v>114</v>
      </c>
      <c r="B941" t="s">
        <v>642</v>
      </c>
      <c r="C941" t="s">
        <v>73</v>
      </c>
      <c r="D941" t="s">
        <v>1428</v>
      </c>
    </row>
    <row r="942" spans="1:4" x14ac:dyDescent="0.3">
      <c r="A942" t="s">
        <v>114</v>
      </c>
      <c r="B942" t="s">
        <v>642</v>
      </c>
      <c r="C942" t="s">
        <v>73</v>
      </c>
      <c r="D942" t="s">
        <v>1598</v>
      </c>
    </row>
    <row r="943" spans="1:4" x14ac:dyDescent="0.3">
      <c r="A943" t="s">
        <v>114</v>
      </c>
      <c r="B943" t="s">
        <v>642</v>
      </c>
      <c r="C943" t="s">
        <v>61</v>
      </c>
      <c r="D943" t="s">
        <v>2341</v>
      </c>
    </row>
    <row r="944" spans="1:4" x14ac:dyDescent="0.3">
      <c r="A944" t="s">
        <v>114</v>
      </c>
      <c r="B944" t="s">
        <v>642</v>
      </c>
      <c r="C944" t="s">
        <v>61</v>
      </c>
      <c r="D944" t="s">
        <v>2342</v>
      </c>
    </row>
    <row r="945" spans="1:4" x14ac:dyDescent="0.3">
      <c r="A945" t="s">
        <v>114</v>
      </c>
      <c r="B945" t="s">
        <v>642</v>
      </c>
      <c r="C945" t="s">
        <v>61</v>
      </c>
      <c r="D945" t="s">
        <v>2342</v>
      </c>
    </row>
    <row r="946" spans="1:4" x14ac:dyDescent="0.3">
      <c r="A946" t="s">
        <v>114</v>
      </c>
      <c r="B946" t="s">
        <v>642</v>
      </c>
      <c r="C946" t="s">
        <v>61</v>
      </c>
      <c r="D946" t="s">
        <v>2343</v>
      </c>
    </row>
    <row r="947" spans="1:4" x14ac:dyDescent="0.3">
      <c r="A947" t="s">
        <v>114</v>
      </c>
      <c r="B947" t="s">
        <v>642</v>
      </c>
      <c r="C947" t="s">
        <v>61</v>
      </c>
      <c r="D947" t="s">
        <v>1093</v>
      </c>
    </row>
    <row r="948" spans="1:4" x14ac:dyDescent="0.3">
      <c r="A948" t="s">
        <v>114</v>
      </c>
      <c r="B948" t="s">
        <v>642</v>
      </c>
      <c r="C948" t="s">
        <v>61</v>
      </c>
      <c r="D948" t="s">
        <v>1264</v>
      </c>
    </row>
    <row r="949" spans="1:4" x14ac:dyDescent="0.3">
      <c r="A949" t="s">
        <v>114</v>
      </c>
      <c r="B949" t="s">
        <v>642</v>
      </c>
      <c r="C949" t="s">
        <v>61</v>
      </c>
      <c r="D949" t="s">
        <v>1435</v>
      </c>
    </row>
    <row r="950" spans="1:4" x14ac:dyDescent="0.3">
      <c r="A950" t="s">
        <v>114</v>
      </c>
      <c r="B950" t="s">
        <v>642</v>
      </c>
      <c r="C950" t="s">
        <v>61</v>
      </c>
      <c r="D950" t="s">
        <v>2344</v>
      </c>
    </row>
    <row r="951" spans="1:4" x14ac:dyDescent="0.3">
      <c r="A951" t="s">
        <v>114</v>
      </c>
      <c r="B951" t="s">
        <v>642</v>
      </c>
      <c r="C951" t="s">
        <v>67</v>
      </c>
      <c r="D951" t="s">
        <v>428</v>
      </c>
    </row>
    <row r="952" spans="1:4" x14ac:dyDescent="0.3">
      <c r="A952" t="s">
        <v>114</v>
      </c>
      <c r="B952" t="s">
        <v>642</v>
      </c>
      <c r="C952" t="s">
        <v>67</v>
      </c>
      <c r="D952" t="s">
        <v>600</v>
      </c>
    </row>
    <row r="953" spans="1:4" x14ac:dyDescent="0.3">
      <c r="A953" t="s">
        <v>114</v>
      </c>
      <c r="B953" t="s">
        <v>642</v>
      </c>
      <c r="C953" t="s">
        <v>67</v>
      </c>
      <c r="D953" t="s">
        <v>769</v>
      </c>
    </row>
    <row r="954" spans="1:4" x14ac:dyDescent="0.3">
      <c r="A954" t="s">
        <v>114</v>
      </c>
      <c r="B954" t="s">
        <v>642</v>
      </c>
      <c r="C954" t="s">
        <v>67</v>
      </c>
      <c r="D954" t="s">
        <v>933</v>
      </c>
    </row>
    <row r="955" spans="1:4" x14ac:dyDescent="0.3">
      <c r="A955" t="s">
        <v>114</v>
      </c>
      <c r="B955" t="s">
        <v>642</v>
      </c>
      <c r="C955" t="s">
        <v>67</v>
      </c>
      <c r="D955" t="s">
        <v>1100</v>
      </c>
    </row>
    <row r="956" spans="1:4" x14ac:dyDescent="0.3">
      <c r="A956" t="s">
        <v>114</v>
      </c>
      <c r="B956" t="s">
        <v>642</v>
      </c>
      <c r="C956" t="s">
        <v>67</v>
      </c>
      <c r="D956" t="s">
        <v>1271</v>
      </c>
    </row>
    <row r="957" spans="1:4" x14ac:dyDescent="0.3">
      <c r="A957" t="s">
        <v>114</v>
      </c>
      <c r="B957" t="s">
        <v>642</v>
      </c>
      <c r="C957" t="s">
        <v>67</v>
      </c>
      <c r="D957" t="s">
        <v>1442</v>
      </c>
    </row>
    <row r="958" spans="1:4" x14ac:dyDescent="0.3">
      <c r="A958" t="s">
        <v>114</v>
      </c>
      <c r="B958" t="s">
        <v>642</v>
      </c>
      <c r="C958" t="s">
        <v>67</v>
      </c>
      <c r="D958" t="s">
        <v>1611</v>
      </c>
    </row>
    <row r="959" spans="1:4" x14ac:dyDescent="0.3">
      <c r="A959" t="s">
        <v>114</v>
      </c>
      <c r="B959" t="s">
        <v>101</v>
      </c>
      <c r="C959" t="s">
        <v>64</v>
      </c>
      <c r="D959" t="s">
        <v>404</v>
      </c>
    </row>
    <row r="960" spans="1:4" x14ac:dyDescent="0.3">
      <c r="A960" t="s">
        <v>114</v>
      </c>
      <c r="B960" t="s">
        <v>101</v>
      </c>
      <c r="C960" t="s">
        <v>64</v>
      </c>
      <c r="D960" t="s">
        <v>575</v>
      </c>
    </row>
    <row r="961" spans="1:4" x14ac:dyDescent="0.3">
      <c r="A961" t="s">
        <v>114</v>
      </c>
      <c r="B961" t="s">
        <v>101</v>
      </c>
      <c r="C961" t="s">
        <v>64</v>
      </c>
      <c r="D961" t="s">
        <v>746</v>
      </c>
    </row>
    <row r="962" spans="1:4" x14ac:dyDescent="0.3">
      <c r="A962" t="s">
        <v>114</v>
      </c>
      <c r="B962" t="s">
        <v>101</v>
      </c>
      <c r="C962" t="s">
        <v>64</v>
      </c>
      <c r="D962" t="s">
        <v>908</v>
      </c>
    </row>
    <row r="963" spans="1:4" x14ac:dyDescent="0.3">
      <c r="A963" t="s">
        <v>114</v>
      </c>
      <c r="B963" t="s">
        <v>101</v>
      </c>
      <c r="C963" t="s">
        <v>64</v>
      </c>
      <c r="D963" t="s">
        <v>1075</v>
      </c>
    </row>
    <row r="964" spans="1:4" x14ac:dyDescent="0.3">
      <c r="A964" t="s">
        <v>114</v>
      </c>
      <c r="B964" t="s">
        <v>101</v>
      </c>
      <c r="C964" t="s">
        <v>64</v>
      </c>
      <c r="D964" t="s">
        <v>1246</v>
      </c>
    </row>
    <row r="965" spans="1:4" x14ac:dyDescent="0.3">
      <c r="A965" t="s">
        <v>114</v>
      </c>
      <c r="B965" t="s">
        <v>101</v>
      </c>
      <c r="C965" t="s">
        <v>64</v>
      </c>
      <c r="D965" t="s">
        <v>1417</v>
      </c>
    </row>
    <row r="966" spans="1:4" x14ac:dyDescent="0.3">
      <c r="A966" t="s">
        <v>114</v>
      </c>
      <c r="B966" t="s">
        <v>101</v>
      </c>
      <c r="C966" t="s">
        <v>64</v>
      </c>
      <c r="D966" t="s">
        <v>1587</v>
      </c>
    </row>
    <row r="967" spans="1:4" x14ac:dyDescent="0.3">
      <c r="A967" t="s">
        <v>114</v>
      </c>
      <c r="B967" t="s">
        <v>101</v>
      </c>
      <c r="C967" t="s">
        <v>73</v>
      </c>
      <c r="D967" t="s">
        <v>411</v>
      </c>
    </row>
    <row r="968" spans="1:4" x14ac:dyDescent="0.3">
      <c r="A968" t="s">
        <v>114</v>
      </c>
      <c r="B968" t="s">
        <v>101</v>
      </c>
      <c r="C968" t="s">
        <v>73</v>
      </c>
      <c r="D968" t="s">
        <v>582</v>
      </c>
    </row>
    <row r="969" spans="1:4" x14ac:dyDescent="0.3">
      <c r="A969" t="s">
        <v>114</v>
      </c>
      <c r="B969" t="s">
        <v>101</v>
      </c>
      <c r="C969" t="s">
        <v>73</v>
      </c>
      <c r="D969" t="s">
        <v>753</v>
      </c>
    </row>
    <row r="970" spans="1:4" x14ac:dyDescent="0.3">
      <c r="A970" t="s">
        <v>114</v>
      </c>
      <c r="B970" t="s">
        <v>101</v>
      </c>
      <c r="C970" t="s">
        <v>73</v>
      </c>
      <c r="D970" t="s">
        <v>915</v>
      </c>
    </row>
    <row r="971" spans="1:4" x14ac:dyDescent="0.3">
      <c r="A971" t="s">
        <v>114</v>
      </c>
      <c r="B971" t="s">
        <v>101</v>
      </c>
      <c r="C971" t="s">
        <v>73</v>
      </c>
      <c r="D971" t="s">
        <v>1082</v>
      </c>
    </row>
    <row r="972" spans="1:4" x14ac:dyDescent="0.3">
      <c r="A972" t="s">
        <v>114</v>
      </c>
      <c r="B972" t="s">
        <v>101</v>
      </c>
      <c r="C972" t="s">
        <v>73</v>
      </c>
      <c r="D972" t="s">
        <v>2345</v>
      </c>
    </row>
    <row r="973" spans="1:4" x14ac:dyDescent="0.3">
      <c r="A973" t="s">
        <v>114</v>
      </c>
      <c r="B973" t="s">
        <v>101</v>
      </c>
      <c r="C973" t="s">
        <v>73</v>
      </c>
      <c r="D973" t="s">
        <v>1424</v>
      </c>
    </row>
    <row r="974" spans="1:4" x14ac:dyDescent="0.3">
      <c r="A974" t="s">
        <v>114</v>
      </c>
      <c r="B974" t="s">
        <v>101</v>
      </c>
      <c r="C974" t="s">
        <v>73</v>
      </c>
      <c r="D974" t="s">
        <v>2346</v>
      </c>
    </row>
    <row r="975" spans="1:4" x14ac:dyDescent="0.3">
      <c r="A975" t="s">
        <v>114</v>
      </c>
      <c r="B975" t="s">
        <v>101</v>
      </c>
      <c r="C975" t="s">
        <v>61</v>
      </c>
      <c r="D975" t="s">
        <v>2347</v>
      </c>
    </row>
    <row r="976" spans="1:4" x14ac:dyDescent="0.3">
      <c r="A976" t="s">
        <v>114</v>
      </c>
      <c r="B976" t="s">
        <v>101</v>
      </c>
      <c r="C976" t="s">
        <v>61</v>
      </c>
      <c r="D976" t="s">
        <v>2348</v>
      </c>
    </row>
    <row r="977" spans="1:4" x14ac:dyDescent="0.3">
      <c r="A977" t="s">
        <v>114</v>
      </c>
      <c r="B977" t="s">
        <v>101</v>
      </c>
      <c r="C977" t="s">
        <v>61</v>
      </c>
      <c r="D977" t="s">
        <v>760</v>
      </c>
    </row>
    <row r="978" spans="1:4" x14ac:dyDescent="0.3">
      <c r="A978" t="s">
        <v>114</v>
      </c>
      <c r="B978" t="s">
        <v>101</v>
      </c>
      <c r="C978" t="s">
        <v>61</v>
      </c>
      <c r="D978" t="s">
        <v>2349</v>
      </c>
    </row>
    <row r="979" spans="1:4" x14ac:dyDescent="0.3">
      <c r="A979" t="s">
        <v>114</v>
      </c>
      <c r="B979" t="s">
        <v>101</v>
      </c>
      <c r="C979" t="s">
        <v>61</v>
      </c>
      <c r="D979" t="s">
        <v>1089</v>
      </c>
    </row>
    <row r="980" spans="1:4" x14ac:dyDescent="0.3">
      <c r="A980" t="s">
        <v>114</v>
      </c>
      <c r="B980" t="s">
        <v>101</v>
      </c>
      <c r="C980" t="s">
        <v>61</v>
      </c>
      <c r="D980" t="s">
        <v>2350</v>
      </c>
    </row>
    <row r="981" spans="1:4" x14ac:dyDescent="0.3">
      <c r="A981" t="s">
        <v>114</v>
      </c>
      <c r="B981" t="s">
        <v>101</v>
      </c>
      <c r="C981" t="s">
        <v>61</v>
      </c>
      <c r="D981" t="s">
        <v>1431</v>
      </c>
    </row>
    <row r="982" spans="1:4" x14ac:dyDescent="0.3">
      <c r="A982" t="s">
        <v>114</v>
      </c>
      <c r="B982" t="s">
        <v>101</v>
      </c>
      <c r="C982" t="s">
        <v>61</v>
      </c>
      <c r="D982" t="s">
        <v>1601</v>
      </c>
    </row>
    <row r="983" spans="1:4" x14ac:dyDescent="0.3">
      <c r="A983" t="s">
        <v>114</v>
      </c>
      <c r="B983" t="s">
        <v>101</v>
      </c>
      <c r="C983" t="s">
        <v>67</v>
      </c>
      <c r="D983" t="s">
        <v>85</v>
      </c>
    </row>
    <row r="984" spans="1:4" x14ac:dyDescent="0.3">
      <c r="A984" t="s">
        <v>114</v>
      </c>
      <c r="B984" t="s">
        <v>101</v>
      </c>
      <c r="C984" t="s">
        <v>67</v>
      </c>
      <c r="D984" t="s">
        <v>2351</v>
      </c>
    </row>
    <row r="985" spans="1:4" x14ac:dyDescent="0.3">
      <c r="A985" t="s">
        <v>114</v>
      </c>
      <c r="B985" t="s">
        <v>101</v>
      </c>
      <c r="C985" t="s">
        <v>67</v>
      </c>
      <c r="D985" t="s">
        <v>2352</v>
      </c>
    </row>
    <row r="986" spans="1:4" x14ac:dyDescent="0.3">
      <c r="A986" t="s">
        <v>114</v>
      </c>
      <c r="B986" t="s">
        <v>101</v>
      </c>
      <c r="C986" t="s">
        <v>67</v>
      </c>
      <c r="D986" t="s">
        <v>929</v>
      </c>
    </row>
    <row r="987" spans="1:4" x14ac:dyDescent="0.3">
      <c r="A987" t="s">
        <v>114</v>
      </c>
      <c r="B987" t="s">
        <v>101</v>
      </c>
      <c r="C987" t="s">
        <v>67</v>
      </c>
      <c r="D987" t="s">
        <v>1096</v>
      </c>
    </row>
    <row r="988" spans="1:4" x14ac:dyDescent="0.3">
      <c r="A988" t="s">
        <v>114</v>
      </c>
      <c r="B988" t="s">
        <v>101</v>
      </c>
      <c r="C988" t="s">
        <v>67</v>
      </c>
      <c r="D988" t="s">
        <v>1267</v>
      </c>
    </row>
    <row r="989" spans="1:4" x14ac:dyDescent="0.3">
      <c r="A989" t="s">
        <v>114</v>
      </c>
      <c r="B989" t="s">
        <v>101</v>
      </c>
      <c r="C989" t="s">
        <v>67</v>
      </c>
      <c r="D989" t="s">
        <v>2353</v>
      </c>
    </row>
    <row r="990" spans="1:4" x14ac:dyDescent="0.3">
      <c r="A990" t="s">
        <v>114</v>
      </c>
      <c r="B990" t="s">
        <v>810</v>
      </c>
      <c r="C990" t="s">
        <v>64</v>
      </c>
      <c r="D990" t="s">
        <v>2354</v>
      </c>
    </row>
    <row r="991" spans="1:4" x14ac:dyDescent="0.3">
      <c r="A991" t="s">
        <v>114</v>
      </c>
      <c r="B991" t="s">
        <v>810</v>
      </c>
      <c r="C991" t="s">
        <v>64</v>
      </c>
      <c r="D991" t="s">
        <v>2355</v>
      </c>
    </row>
    <row r="992" spans="1:4" x14ac:dyDescent="0.3">
      <c r="A992" t="s">
        <v>114</v>
      </c>
      <c r="B992" t="s">
        <v>810</v>
      </c>
      <c r="C992" t="s">
        <v>64</v>
      </c>
      <c r="D992" t="s">
        <v>2356</v>
      </c>
    </row>
    <row r="993" spans="1:4" x14ac:dyDescent="0.3">
      <c r="A993" t="s">
        <v>114</v>
      </c>
      <c r="B993" t="s">
        <v>810</v>
      </c>
      <c r="C993" t="s">
        <v>64</v>
      </c>
      <c r="D993" t="s">
        <v>2357</v>
      </c>
    </row>
    <row r="994" spans="1:4" x14ac:dyDescent="0.3">
      <c r="A994" t="s">
        <v>114</v>
      </c>
      <c r="B994" t="s">
        <v>810</v>
      </c>
      <c r="C994" t="s">
        <v>64</v>
      </c>
      <c r="D994" t="s">
        <v>2358</v>
      </c>
    </row>
    <row r="995" spans="1:4" x14ac:dyDescent="0.3">
      <c r="A995" t="s">
        <v>114</v>
      </c>
      <c r="B995" t="s">
        <v>810</v>
      </c>
      <c r="C995" t="s">
        <v>64</v>
      </c>
      <c r="D995" t="s">
        <v>2359</v>
      </c>
    </row>
    <row r="996" spans="1:4" x14ac:dyDescent="0.3">
      <c r="A996" t="s">
        <v>114</v>
      </c>
      <c r="B996" t="s">
        <v>810</v>
      </c>
      <c r="C996" t="s">
        <v>64</v>
      </c>
      <c r="D996" t="s">
        <v>2360</v>
      </c>
    </row>
    <row r="997" spans="1:4" x14ac:dyDescent="0.3">
      <c r="A997" t="s">
        <v>114</v>
      </c>
      <c r="B997" t="s">
        <v>810</v>
      </c>
      <c r="C997" t="s">
        <v>64</v>
      </c>
      <c r="D997" t="s">
        <v>2361</v>
      </c>
    </row>
    <row r="998" spans="1:4" x14ac:dyDescent="0.3">
      <c r="A998" t="s">
        <v>114</v>
      </c>
      <c r="B998" t="s">
        <v>810</v>
      </c>
      <c r="C998" t="s">
        <v>73</v>
      </c>
      <c r="D998" t="s">
        <v>2362</v>
      </c>
    </row>
    <row r="999" spans="1:4" x14ac:dyDescent="0.3">
      <c r="A999" t="s">
        <v>114</v>
      </c>
      <c r="B999" t="s">
        <v>810</v>
      </c>
      <c r="C999" t="s">
        <v>73</v>
      </c>
      <c r="D999" t="s">
        <v>2363</v>
      </c>
    </row>
    <row r="1000" spans="1:4" x14ac:dyDescent="0.3">
      <c r="A1000" t="s">
        <v>114</v>
      </c>
      <c r="B1000" t="s">
        <v>810</v>
      </c>
      <c r="C1000" t="s">
        <v>73</v>
      </c>
      <c r="D1000" t="s">
        <v>2364</v>
      </c>
    </row>
    <row r="1001" spans="1:4" x14ac:dyDescent="0.3">
      <c r="A1001" t="s">
        <v>114</v>
      </c>
      <c r="B1001" t="s">
        <v>810</v>
      </c>
      <c r="C1001" t="s">
        <v>73</v>
      </c>
      <c r="D1001" t="s">
        <v>2365</v>
      </c>
    </row>
    <row r="1002" spans="1:4" x14ac:dyDescent="0.3">
      <c r="A1002" t="s">
        <v>114</v>
      </c>
      <c r="B1002" t="s">
        <v>810</v>
      </c>
      <c r="C1002" t="s">
        <v>73</v>
      </c>
      <c r="D1002" t="s">
        <v>2366</v>
      </c>
    </row>
    <row r="1003" spans="1:4" x14ac:dyDescent="0.3">
      <c r="A1003" t="s">
        <v>114</v>
      </c>
      <c r="B1003" t="s">
        <v>810</v>
      </c>
      <c r="C1003" t="s">
        <v>73</v>
      </c>
      <c r="D1003" t="s">
        <v>2367</v>
      </c>
    </row>
    <row r="1004" spans="1:4" x14ac:dyDescent="0.3">
      <c r="A1004" t="s">
        <v>114</v>
      </c>
      <c r="B1004" t="s">
        <v>810</v>
      </c>
      <c r="C1004" t="s">
        <v>73</v>
      </c>
      <c r="D1004" t="s">
        <v>2368</v>
      </c>
    </row>
    <row r="1005" spans="1:4" x14ac:dyDescent="0.3">
      <c r="A1005" t="s">
        <v>114</v>
      </c>
      <c r="B1005" t="s">
        <v>810</v>
      </c>
      <c r="C1005" t="s">
        <v>73</v>
      </c>
      <c r="D1005" t="s">
        <v>2369</v>
      </c>
    </row>
    <row r="1006" spans="1:4" x14ac:dyDescent="0.3">
      <c r="A1006" t="s">
        <v>114</v>
      </c>
      <c r="B1006" t="s">
        <v>810</v>
      </c>
      <c r="C1006" t="s">
        <v>73</v>
      </c>
      <c r="D1006" t="s">
        <v>2370</v>
      </c>
    </row>
    <row r="1007" spans="1:4" x14ac:dyDescent="0.3">
      <c r="A1007" t="s">
        <v>114</v>
      </c>
      <c r="B1007" t="s">
        <v>810</v>
      </c>
      <c r="C1007" t="s">
        <v>73</v>
      </c>
      <c r="D1007" t="s">
        <v>2371</v>
      </c>
    </row>
    <row r="1008" spans="1:4" x14ac:dyDescent="0.3">
      <c r="A1008" t="s">
        <v>114</v>
      </c>
      <c r="B1008" t="s">
        <v>810</v>
      </c>
      <c r="C1008" t="s">
        <v>73</v>
      </c>
      <c r="D1008" t="s">
        <v>2372</v>
      </c>
    </row>
    <row r="1009" spans="1:4" x14ac:dyDescent="0.3">
      <c r="A1009" t="s">
        <v>114</v>
      </c>
      <c r="B1009" t="s">
        <v>810</v>
      </c>
      <c r="C1009" t="s">
        <v>61</v>
      </c>
      <c r="D1009" t="s">
        <v>2373</v>
      </c>
    </row>
    <row r="1010" spans="1:4" x14ac:dyDescent="0.3">
      <c r="A1010" t="s">
        <v>114</v>
      </c>
      <c r="B1010" t="s">
        <v>810</v>
      </c>
      <c r="C1010" t="s">
        <v>61</v>
      </c>
      <c r="D1010" t="s">
        <v>2374</v>
      </c>
    </row>
    <row r="1011" spans="1:4" x14ac:dyDescent="0.3">
      <c r="A1011" t="s">
        <v>114</v>
      </c>
      <c r="B1011" t="s">
        <v>810</v>
      </c>
      <c r="C1011" t="s">
        <v>61</v>
      </c>
      <c r="D1011" t="s">
        <v>2375</v>
      </c>
    </row>
    <row r="1012" spans="1:4" x14ac:dyDescent="0.3">
      <c r="A1012" t="s">
        <v>114</v>
      </c>
      <c r="B1012" t="s">
        <v>810</v>
      </c>
      <c r="C1012" t="s">
        <v>61</v>
      </c>
      <c r="D1012" t="s">
        <v>2376</v>
      </c>
    </row>
    <row r="1013" spans="1:4" x14ac:dyDescent="0.3">
      <c r="A1013" t="s">
        <v>114</v>
      </c>
      <c r="B1013" t="s">
        <v>810</v>
      </c>
      <c r="C1013" t="s">
        <v>61</v>
      </c>
      <c r="D1013" t="s">
        <v>2377</v>
      </c>
    </row>
    <row r="1014" spans="1:4" x14ac:dyDescent="0.3">
      <c r="A1014" t="s">
        <v>114</v>
      </c>
      <c r="B1014" t="s">
        <v>810</v>
      </c>
      <c r="C1014" t="s">
        <v>61</v>
      </c>
      <c r="D1014" t="s">
        <v>2378</v>
      </c>
    </row>
    <row r="1015" spans="1:4" x14ac:dyDescent="0.3">
      <c r="A1015" t="s">
        <v>114</v>
      </c>
      <c r="B1015" t="s">
        <v>810</v>
      </c>
      <c r="C1015" t="s">
        <v>61</v>
      </c>
      <c r="D1015" t="s">
        <v>2379</v>
      </c>
    </row>
    <row r="1016" spans="1:4" x14ac:dyDescent="0.3">
      <c r="A1016" t="s">
        <v>114</v>
      </c>
      <c r="B1016" t="s">
        <v>810</v>
      </c>
      <c r="C1016" t="s">
        <v>61</v>
      </c>
      <c r="D1016" t="s">
        <v>2380</v>
      </c>
    </row>
    <row r="1017" spans="1:4" x14ac:dyDescent="0.3">
      <c r="A1017" t="s">
        <v>114</v>
      </c>
      <c r="B1017" t="s">
        <v>810</v>
      </c>
      <c r="C1017" t="s">
        <v>67</v>
      </c>
      <c r="D1017" t="s">
        <v>2381</v>
      </c>
    </row>
    <row r="1018" spans="1:4" x14ac:dyDescent="0.3">
      <c r="A1018" t="s">
        <v>114</v>
      </c>
      <c r="B1018" t="s">
        <v>810</v>
      </c>
      <c r="C1018" t="s">
        <v>67</v>
      </c>
      <c r="D1018" t="s">
        <v>2382</v>
      </c>
    </row>
    <row r="1019" spans="1:4" x14ac:dyDescent="0.3">
      <c r="A1019" t="s">
        <v>114</v>
      </c>
      <c r="B1019" t="s">
        <v>810</v>
      </c>
      <c r="C1019" t="s">
        <v>67</v>
      </c>
      <c r="D1019" t="s">
        <v>2383</v>
      </c>
    </row>
    <row r="1020" spans="1:4" x14ac:dyDescent="0.3">
      <c r="A1020" t="s">
        <v>114</v>
      </c>
      <c r="B1020" t="s">
        <v>810</v>
      </c>
      <c r="C1020" t="s">
        <v>67</v>
      </c>
      <c r="D1020" t="s">
        <v>2384</v>
      </c>
    </row>
    <row r="1021" spans="1:4" x14ac:dyDescent="0.3">
      <c r="A1021" t="s">
        <v>114</v>
      </c>
      <c r="B1021" t="s">
        <v>810</v>
      </c>
      <c r="C1021" t="s">
        <v>67</v>
      </c>
      <c r="D1021" t="s">
        <v>2385</v>
      </c>
    </row>
    <row r="1022" spans="1:4" x14ac:dyDescent="0.3">
      <c r="A1022" t="s">
        <v>114</v>
      </c>
      <c r="B1022" t="s">
        <v>810</v>
      </c>
      <c r="C1022" t="s">
        <v>67</v>
      </c>
      <c r="D1022" t="s">
        <v>2386</v>
      </c>
    </row>
    <row r="1023" spans="1:4" x14ac:dyDescent="0.3">
      <c r="A1023" t="s">
        <v>114</v>
      </c>
      <c r="B1023" t="s">
        <v>810</v>
      </c>
      <c r="C1023" t="s">
        <v>67</v>
      </c>
      <c r="D1023" t="s">
        <v>2387</v>
      </c>
    </row>
    <row r="1024" spans="1:4" x14ac:dyDescent="0.3">
      <c r="A1024" t="s">
        <v>114</v>
      </c>
      <c r="B1024" t="s">
        <v>810</v>
      </c>
      <c r="C1024" t="s">
        <v>67</v>
      </c>
      <c r="D1024" t="s">
        <v>2388</v>
      </c>
    </row>
    <row r="1025" spans="1:4" x14ac:dyDescent="0.3">
      <c r="A1025" t="s">
        <v>115</v>
      </c>
      <c r="B1025" t="s">
        <v>100</v>
      </c>
      <c r="C1025" t="s">
        <v>67</v>
      </c>
      <c r="D1025" t="s">
        <v>2389</v>
      </c>
    </row>
    <row r="1026" spans="1:4" x14ac:dyDescent="0.3">
      <c r="A1026" t="s">
        <v>115</v>
      </c>
      <c r="B1026" t="s">
        <v>100</v>
      </c>
      <c r="C1026" t="s">
        <v>67</v>
      </c>
      <c r="D1026" t="s">
        <v>2390</v>
      </c>
    </row>
    <row r="1027" spans="1:4" x14ac:dyDescent="0.3">
      <c r="A1027" t="s">
        <v>115</v>
      </c>
      <c r="B1027" t="s">
        <v>99</v>
      </c>
      <c r="C1027" t="s">
        <v>64</v>
      </c>
      <c r="D1027" t="s">
        <v>432</v>
      </c>
    </row>
    <row r="1028" spans="1:4" x14ac:dyDescent="0.3">
      <c r="A1028" t="s">
        <v>115</v>
      </c>
      <c r="B1028" t="s">
        <v>99</v>
      </c>
      <c r="C1028" t="s">
        <v>64</v>
      </c>
      <c r="D1028" t="s">
        <v>604</v>
      </c>
    </row>
    <row r="1029" spans="1:4" x14ac:dyDescent="0.3">
      <c r="A1029" t="s">
        <v>115</v>
      </c>
      <c r="B1029" t="s">
        <v>99</v>
      </c>
      <c r="C1029" t="s">
        <v>64</v>
      </c>
      <c r="D1029" t="s">
        <v>773</v>
      </c>
    </row>
    <row r="1030" spans="1:4" x14ac:dyDescent="0.3">
      <c r="A1030" t="s">
        <v>115</v>
      </c>
      <c r="B1030" t="s">
        <v>99</v>
      </c>
      <c r="C1030" t="s">
        <v>64</v>
      </c>
      <c r="D1030" t="s">
        <v>937</v>
      </c>
    </row>
    <row r="1031" spans="1:4" x14ac:dyDescent="0.3">
      <c r="A1031" t="s">
        <v>115</v>
      </c>
      <c r="B1031" t="s">
        <v>99</v>
      </c>
      <c r="C1031" t="s">
        <v>64</v>
      </c>
      <c r="D1031" t="s">
        <v>1104</v>
      </c>
    </row>
    <row r="1032" spans="1:4" x14ac:dyDescent="0.3">
      <c r="A1032" t="s">
        <v>115</v>
      </c>
      <c r="B1032" t="s">
        <v>99</v>
      </c>
      <c r="C1032" t="s">
        <v>64</v>
      </c>
      <c r="D1032" t="s">
        <v>1275</v>
      </c>
    </row>
    <row r="1033" spans="1:4" x14ac:dyDescent="0.3">
      <c r="A1033" t="s">
        <v>115</v>
      </c>
      <c r="B1033" t="s">
        <v>99</v>
      </c>
      <c r="C1033" t="s">
        <v>64</v>
      </c>
      <c r="D1033" t="s">
        <v>1446</v>
      </c>
    </row>
    <row r="1034" spans="1:4" x14ac:dyDescent="0.3">
      <c r="A1034" t="s">
        <v>115</v>
      </c>
      <c r="B1034" t="s">
        <v>99</v>
      </c>
      <c r="C1034" t="s">
        <v>64</v>
      </c>
      <c r="D1034" t="s">
        <v>1615</v>
      </c>
    </row>
    <row r="1035" spans="1:4" x14ac:dyDescent="0.3">
      <c r="A1035" t="s">
        <v>115</v>
      </c>
      <c r="B1035" t="s">
        <v>99</v>
      </c>
      <c r="C1035" t="s">
        <v>73</v>
      </c>
      <c r="D1035" t="s">
        <v>439</v>
      </c>
    </row>
    <row r="1036" spans="1:4" x14ac:dyDescent="0.3">
      <c r="A1036" t="s">
        <v>115</v>
      </c>
      <c r="B1036" t="s">
        <v>99</v>
      </c>
      <c r="C1036" t="s">
        <v>73</v>
      </c>
      <c r="D1036" t="s">
        <v>611</v>
      </c>
    </row>
    <row r="1037" spans="1:4" x14ac:dyDescent="0.3">
      <c r="A1037" t="s">
        <v>115</v>
      </c>
      <c r="B1037" t="s">
        <v>99</v>
      </c>
      <c r="C1037" t="s">
        <v>73</v>
      </c>
      <c r="D1037" t="s">
        <v>780</v>
      </c>
    </row>
    <row r="1038" spans="1:4" x14ac:dyDescent="0.3">
      <c r="A1038" t="s">
        <v>115</v>
      </c>
      <c r="B1038" t="s">
        <v>99</v>
      </c>
      <c r="C1038" t="s">
        <v>73</v>
      </c>
      <c r="D1038" t="s">
        <v>944</v>
      </c>
    </row>
    <row r="1039" spans="1:4" x14ac:dyDescent="0.3">
      <c r="A1039" t="s">
        <v>115</v>
      </c>
      <c r="B1039" t="s">
        <v>99</v>
      </c>
      <c r="C1039" t="s">
        <v>73</v>
      </c>
      <c r="D1039" t="s">
        <v>1111</v>
      </c>
    </row>
    <row r="1040" spans="1:4" x14ac:dyDescent="0.3">
      <c r="A1040" t="s">
        <v>115</v>
      </c>
      <c r="B1040" t="s">
        <v>99</v>
      </c>
      <c r="C1040" t="s">
        <v>73</v>
      </c>
      <c r="D1040" t="s">
        <v>2391</v>
      </c>
    </row>
    <row r="1041" spans="1:4" x14ac:dyDescent="0.3">
      <c r="A1041" t="s">
        <v>115</v>
      </c>
      <c r="B1041" t="s">
        <v>99</v>
      </c>
      <c r="C1041" t="s">
        <v>73</v>
      </c>
      <c r="D1041" t="s">
        <v>2392</v>
      </c>
    </row>
    <row r="1042" spans="1:4" x14ac:dyDescent="0.3">
      <c r="A1042" t="s">
        <v>115</v>
      </c>
      <c r="B1042" t="s">
        <v>99</v>
      </c>
      <c r="C1042" t="s">
        <v>73</v>
      </c>
      <c r="D1042" t="s">
        <v>1622</v>
      </c>
    </row>
    <row r="1043" spans="1:4" x14ac:dyDescent="0.3">
      <c r="A1043" t="s">
        <v>115</v>
      </c>
      <c r="B1043" t="s">
        <v>99</v>
      </c>
      <c r="C1043" t="s">
        <v>61</v>
      </c>
      <c r="D1043" t="s">
        <v>2393</v>
      </c>
    </row>
    <row r="1044" spans="1:4" x14ac:dyDescent="0.3">
      <c r="A1044" t="s">
        <v>115</v>
      </c>
      <c r="B1044" t="s">
        <v>99</v>
      </c>
      <c r="C1044" t="s">
        <v>61</v>
      </c>
      <c r="D1044" t="s">
        <v>2394</v>
      </c>
    </row>
    <row r="1045" spans="1:4" x14ac:dyDescent="0.3">
      <c r="A1045" t="s">
        <v>115</v>
      </c>
      <c r="B1045" t="s">
        <v>99</v>
      </c>
      <c r="C1045" t="s">
        <v>61</v>
      </c>
      <c r="D1045" t="s">
        <v>2395</v>
      </c>
    </row>
    <row r="1046" spans="1:4" x14ac:dyDescent="0.3">
      <c r="A1046" t="s">
        <v>115</v>
      </c>
      <c r="B1046" t="s">
        <v>99</v>
      </c>
      <c r="C1046" t="s">
        <v>61</v>
      </c>
      <c r="D1046" t="s">
        <v>2396</v>
      </c>
    </row>
    <row r="1047" spans="1:4" x14ac:dyDescent="0.3">
      <c r="A1047" t="s">
        <v>115</v>
      </c>
      <c r="B1047" t="s">
        <v>99</v>
      </c>
      <c r="C1047" t="s">
        <v>61</v>
      </c>
      <c r="D1047" t="s">
        <v>2397</v>
      </c>
    </row>
    <row r="1048" spans="1:4" x14ac:dyDescent="0.3">
      <c r="A1048" t="s">
        <v>115</v>
      </c>
      <c r="B1048" t="s">
        <v>99</v>
      </c>
      <c r="C1048" t="s">
        <v>61</v>
      </c>
      <c r="D1048" t="s">
        <v>2398</v>
      </c>
    </row>
    <row r="1049" spans="1:4" x14ac:dyDescent="0.3">
      <c r="A1049" t="s">
        <v>115</v>
      </c>
      <c r="B1049" t="s">
        <v>99</v>
      </c>
      <c r="C1049" t="s">
        <v>61</v>
      </c>
      <c r="D1049" t="s">
        <v>2399</v>
      </c>
    </row>
    <row r="1050" spans="1:4" x14ac:dyDescent="0.3">
      <c r="A1050" t="s">
        <v>115</v>
      </c>
      <c r="B1050" t="s">
        <v>99</v>
      </c>
      <c r="C1050" t="s">
        <v>61</v>
      </c>
      <c r="D1050" t="s">
        <v>2400</v>
      </c>
    </row>
    <row r="1051" spans="1:4" x14ac:dyDescent="0.3">
      <c r="A1051" t="s">
        <v>115</v>
      </c>
      <c r="B1051" t="s">
        <v>99</v>
      </c>
      <c r="C1051" t="s">
        <v>67</v>
      </c>
      <c r="D1051" t="s">
        <v>2401</v>
      </c>
    </row>
    <row r="1052" spans="1:4" x14ac:dyDescent="0.3">
      <c r="A1052" t="s">
        <v>115</v>
      </c>
      <c r="B1052" t="s">
        <v>99</v>
      </c>
      <c r="C1052" t="s">
        <v>67</v>
      </c>
      <c r="D1052" t="s">
        <v>2402</v>
      </c>
    </row>
    <row r="1053" spans="1:4" x14ac:dyDescent="0.3">
      <c r="A1053" t="s">
        <v>115</v>
      </c>
      <c r="B1053" t="s">
        <v>99</v>
      </c>
      <c r="C1053" t="s">
        <v>67</v>
      </c>
      <c r="D1053" t="s">
        <v>2403</v>
      </c>
    </row>
    <row r="1054" spans="1:4" x14ac:dyDescent="0.3">
      <c r="A1054" t="s">
        <v>115</v>
      </c>
      <c r="B1054" t="s">
        <v>99</v>
      </c>
      <c r="C1054" t="s">
        <v>67</v>
      </c>
      <c r="D1054" t="s">
        <v>2404</v>
      </c>
    </row>
    <row r="1055" spans="1:4" x14ac:dyDescent="0.3">
      <c r="A1055" t="s">
        <v>115</v>
      </c>
      <c r="B1055" t="s">
        <v>99</v>
      </c>
      <c r="C1055" t="s">
        <v>67</v>
      </c>
      <c r="D1055" t="s">
        <v>2405</v>
      </c>
    </row>
    <row r="1056" spans="1:4" x14ac:dyDescent="0.3">
      <c r="A1056" t="s">
        <v>115</v>
      </c>
      <c r="B1056" t="s">
        <v>99</v>
      </c>
      <c r="C1056" t="s">
        <v>67</v>
      </c>
      <c r="D1056" t="s">
        <v>2406</v>
      </c>
    </row>
    <row r="1057" spans="1:4" x14ac:dyDescent="0.3">
      <c r="A1057" t="s">
        <v>115</v>
      </c>
      <c r="B1057" t="s">
        <v>99</v>
      </c>
      <c r="C1057" t="s">
        <v>67</v>
      </c>
      <c r="D1057" t="s">
        <v>2407</v>
      </c>
    </row>
    <row r="1058" spans="1:4" x14ac:dyDescent="0.3">
      <c r="A1058" t="s">
        <v>115</v>
      </c>
      <c r="B1058" t="s">
        <v>99</v>
      </c>
      <c r="C1058" t="s">
        <v>67</v>
      </c>
      <c r="D1058" t="s">
        <v>2408</v>
      </c>
    </row>
    <row r="1059" spans="1:4" x14ac:dyDescent="0.3">
      <c r="A1059" t="s">
        <v>115</v>
      </c>
      <c r="B1059" t="s">
        <v>60</v>
      </c>
      <c r="C1059" t="s">
        <v>64</v>
      </c>
      <c r="D1059" t="s">
        <v>2409</v>
      </c>
    </row>
    <row r="1060" spans="1:4" x14ac:dyDescent="0.3">
      <c r="A1060" t="s">
        <v>115</v>
      </c>
      <c r="B1060" t="s">
        <v>60</v>
      </c>
      <c r="C1060" t="s">
        <v>64</v>
      </c>
      <c r="D1060" t="s">
        <v>2410</v>
      </c>
    </row>
    <row r="1061" spans="1:4" x14ac:dyDescent="0.3">
      <c r="A1061" t="s">
        <v>115</v>
      </c>
      <c r="B1061" t="s">
        <v>60</v>
      </c>
      <c r="C1061" t="s">
        <v>64</v>
      </c>
      <c r="D1061" t="s">
        <v>2411</v>
      </c>
    </row>
    <row r="1062" spans="1:4" x14ac:dyDescent="0.3">
      <c r="A1062" t="s">
        <v>115</v>
      </c>
      <c r="B1062" t="s">
        <v>60</v>
      </c>
      <c r="C1062" t="s">
        <v>64</v>
      </c>
      <c r="D1062" t="s">
        <v>2412</v>
      </c>
    </row>
    <row r="1063" spans="1:4" x14ac:dyDescent="0.3">
      <c r="A1063" t="s">
        <v>115</v>
      </c>
      <c r="B1063" t="s">
        <v>60</v>
      </c>
      <c r="C1063" t="s">
        <v>64</v>
      </c>
      <c r="D1063" t="s">
        <v>2413</v>
      </c>
    </row>
    <row r="1064" spans="1:4" x14ac:dyDescent="0.3">
      <c r="A1064" t="s">
        <v>115</v>
      </c>
      <c r="B1064" t="s">
        <v>60</v>
      </c>
      <c r="C1064" t="s">
        <v>64</v>
      </c>
      <c r="D1064" t="s">
        <v>2414</v>
      </c>
    </row>
    <row r="1065" spans="1:4" x14ac:dyDescent="0.3">
      <c r="A1065" t="s">
        <v>115</v>
      </c>
      <c r="B1065" t="s">
        <v>60</v>
      </c>
      <c r="C1065" t="s">
        <v>64</v>
      </c>
      <c r="D1065" t="s">
        <v>2415</v>
      </c>
    </row>
    <row r="1066" spans="1:4" x14ac:dyDescent="0.3">
      <c r="A1066" t="s">
        <v>115</v>
      </c>
      <c r="B1066" t="s">
        <v>60</v>
      </c>
      <c r="C1066" t="s">
        <v>64</v>
      </c>
      <c r="D1066" t="s">
        <v>2416</v>
      </c>
    </row>
    <row r="1067" spans="1:4" x14ac:dyDescent="0.3">
      <c r="A1067" t="s">
        <v>115</v>
      </c>
      <c r="B1067" t="s">
        <v>60</v>
      </c>
      <c r="C1067" t="s">
        <v>73</v>
      </c>
      <c r="D1067" t="s">
        <v>2417</v>
      </c>
    </row>
    <row r="1068" spans="1:4" x14ac:dyDescent="0.3">
      <c r="A1068" t="s">
        <v>115</v>
      </c>
      <c r="B1068" t="s">
        <v>60</v>
      </c>
      <c r="C1068" t="s">
        <v>73</v>
      </c>
      <c r="D1068" t="s">
        <v>2418</v>
      </c>
    </row>
    <row r="1069" spans="1:4" x14ac:dyDescent="0.3">
      <c r="A1069" t="s">
        <v>115</v>
      </c>
      <c r="B1069" t="s">
        <v>60</v>
      </c>
      <c r="C1069" t="s">
        <v>73</v>
      </c>
      <c r="D1069" t="s">
        <v>2419</v>
      </c>
    </row>
    <row r="1070" spans="1:4" x14ac:dyDescent="0.3">
      <c r="A1070" t="s">
        <v>115</v>
      </c>
      <c r="B1070" t="s">
        <v>60</v>
      </c>
      <c r="C1070" t="s">
        <v>73</v>
      </c>
      <c r="D1070" t="s">
        <v>2420</v>
      </c>
    </row>
    <row r="1071" spans="1:4" x14ac:dyDescent="0.3">
      <c r="A1071" t="s">
        <v>115</v>
      </c>
      <c r="B1071" t="s">
        <v>60</v>
      </c>
      <c r="C1071" t="s">
        <v>73</v>
      </c>
      <c r="D1071" t="s">
        <v>2421</v>
      </c>
    </row>
    <row r="1072" spans="1:4" x14ac:dyDescent="0.3">
      <c r="A1072" t="s">
        <v>115</v>
      </c>
      <c r="B1072" t="s">
        <v>60</v>
      </c>
      <c r="C1072" t="s">
        <v>73</v>
      </c>
      <c r="D1072" t="s">
        <v>2422</v>
      </c>
    </row>
    <row r="1073" spans="1:4" x14ac:dyDescent="0.3">
      <c r="A1073" t="s">
        <v>115</v>
      </c>
      <c r="B1073" t="s">
        <v>60</v>
      </c>
      <c r="C1073" t="s">
        <v>73</v>
      </c>
      <c r="D1073" t="s">
        <v>2423</v>
      </c>
    </row>
    <row r="1074" spans="1:4" x14ac:dyDescent="0.3">
      <c r="A1074" t="s">
        <v>115</v>
      </c>
      <c r="B1074" t="s">
        <v>60</v>
      </c>
      <c r="C1074" t="s">
        <v>73</v>
      </c>
      <c r="D1074" t="s">
        <v>2424</v>
      </c>
    </row>
    <row r="1075" spans="1:4" x14ac:dyDescent="0.3">
      <c r="A1075" t="s">
        <v>115</v>
      </c>
      <c r="B1075" t="s">
        <v>60</v>
      </c>
      <c r="C1075" t="s">
        <v>61</v>
      </c>
      <c r="D1075" t="s">
        <v>2425</v>
      </c>
    </row>
    <row r="1076" spans="1:4" x14ac:dyDescent="0.3">
      <c r="A1076" t="s">
        <v>115</v>
      </c>
      <c r="B1076" t="s">
        <v>60</v>
      </c>
      <c r="C1076" t="s">
        <v>61</v>
      </c>
      <c r="D1076" t="s">
        <v>2426</v>
      </c>
    </row>
    <row r="1077" spans="1:4" x14ac:dyDescent="0.3">
      <c r="A1077" t="s">
        <v>115</v>
      </c>
      <c r="B1077" t="s">
        <v>60</v>
      </c>
      <c r="C1077" t="s">
        <v>61</v>
      </c>
      <c r="D1077" t="s">
        <v>2427</v>
      </c>
    </row>
    <row r="1078" spans="1:4" x14ac:dyDescent="0.3">
      <c r="A1078" t="s">
        <v>115</v>
      </c>
      <c r="B1078" t="s">
        <v>60</v>
      </c>
      <c r="C1078" t="s">
        <v>61</v>
      </c>
      <c r="D1078" t="s">
        <v>2428</v>
      </c>
    </row>
    <row r="1079" spans="1:4" x14ac:dyDescent="0.3">
      <c r="A1079" t="s">
        <v>115</v>
      </c>
      <c r="B1079" t="s">
        <v>60</v>
      </c>
      <c r="C1079" t="s">
        <v>61</v>
      </c>
      <c r="D1079" t="s">
        <v>2429</v>
      </c>
    </row>
    <row r="1080" spans="1:4" x14ac:dyDescent="0.3">
      <c r="A1080" t="s">
        <v>115</v>
      </c>
      <c r="B1080" t="s">
        <v>60</v>
      </c>
      <c r="C1080" t="s">
        <v>61</v>
      </c>
      <c r="D1080" t="s">
        <v>2430</v>
      </c>
    </row>
    <row r="1081" spans="1:4" x14ac:dyDescent="0.3">
      <c r="A1081" t="s">
        <v>115</v>
      </c>
      <c r="B1081" t="s">
        <v>60</v>
      </c>
      <c r="C1081" t="s">
        <v>61</v>
      </c>
      <c r="D1081" t="s">
        <v>2431</v>
      </c>
    </row>
    <row r="1082" spans="1:4" x14ac:dyDescent="0.3">
      <c r="A1082" t="s">
        <v>115</v>
      </c>
      <c r="B1082" t="s">
        <v>60</v>
      </c>
      <c r="C1082" t="s">
        <v>61</v>
      </c>
      <c r="D1082" t="s">
        <v>2432</v>
      </c>
    </row>
    <row r="1083" spans="1:4" x14ac:dyDescent="0.3">
      <c r="A1083" t="s">
        <v>115</v>
      </c>
      <c r="B1083" t="s">
        <v>60</v>
      </c>
      <c r="C1083" t="s">
        <v>67</v>
      </c>
      <c r="D1083" t="s">
        <v>2433</v>
      </c>
    </row>
    <row r="1084" spans="1:4" x14ac:dyDescent="0.3">
      <c r="A1084" t="s">
        <v>115</v>
      </c>
      <c r="B1084" t="s">
        <v>60</v>
      </c>
      <c r="C1084" t="s">
        <v>67</v>
      </c>
      <c r="D1084" t="s">
        <v>2434</v>
      </c>
    </row>
    <row r="1085" spans="1:4" x14ac:dyDescent="0.3">
      <c r="A1085" t="s">
        <v>115</v>
      </c>
      <c r="B1085" t="s">
        <v>60</v>
      </c>
      <c r="C1085" t="s">
        <v>67</v>
      </c>
      <c r="D1085" t="s">
        <v>2435</v>
      </c>
    </row>
    <row r="1086" spans="1:4" x14ac:dyDescent="0.3">
      <c r="A1086" t="s">
        <v>115</v>
      </c>
      <c r="B1086" t="s">
        <v>60</v>
      </c>
      <c r="C1086" t="s">
        <v>67</v>
      </c>
      <c r="D1086" t="s">
        <v>2436</v>
      </c>
    </row>
    <row r="1087" spans="1:4" x14ac:dyDescent="0.3">
      <c r="A1087" t="s">
        <v>115</v>
      </c>
      <c r="B1087" t="s">
        <v>60</v>
      </c>
      <c r="C1087" t="s">
        <v>67</v>
      </c>
      <c r="D1087" t="s">
        <v>2437</v>
      </c>
    </row>
    <row r="1088" spans="1:4" x14ac:dyDescent="0.3">
      <c r="A1088" t="s">
        <v>115</v>
      </c>
      <c r="B1088" t="s">
        <v>60</v>
      </c>
      <c r="C1088" t="s">
        <v>67</v>
      </c>
      <c r="D1088" t="s">
        <v>2438</v>
      </c>
    </row>
    <row r="1089" spans="1:4" x14ac:dyDescent="0.3">
      <c r="A1089" t="s">
        <v>115</v>
      </c>
      <c r="B1089" t="s">
        <v>60</v>
      </c>
      <c r="C1089" t="s">
        <v>67</v>
      </c>
      <c r="D1089" t="s">
        <v>2439</v>
      </c>
    </row>
    <row r="1090" spans="1:4" x14ac:dyDescent="0.3">
      <c r="A1090" t="s">
        <v>115</v>
      </c>
      <c r="B1090" t="s">
        <v>60</v>
      </c>
      <c r="C1090" t="s">
        <v>67</v>
      </c>
      <c r="D1090" t="s">
        <v>2440</v>
      </c>
    </row>
    <row r="1091" spans="1:4" x14ac:dyDescent="0.3">
      <c r="A1091" t="s">
        <v>115</v>
      </c>
      <c r="B1091" t="s">
        <v>469</v>
      </c>
      <c r="C1091" t="s">
        <v>64</v>
      </c>
      <c r="D1091" t="s">
        <v>2441</v>
      </c>
    </row>
    <row r="1092" spans="1:4" x14ac:dyDescent="0.3">
      <c r="A1092" t="s">
        <v>115</v>
      </c>
      <c r="B1092" t="s">
        <v>469</v>
      </c>
      <c r="C1092" t="s">
        <v>64</v>
      </c>
      <c r="D1092" t="s">
        <v>2442</v>
      </c>
    </row>
    <row r="1093" spans="1:4" x14ac:dyDescent="0.3">
      <c r="A1093" t="s">
        <v>115</v>
      </c>
      <c r="B1093" t="s">
        <v>469</v>
      </c>
      <c r="C1093" t="s">
        <v>64</v>
      </c>
      <c r="D1093" t="s">
        <v>2443</v>
      </c>
    </row>
    <row r="1094" spans="1:4" x14ac:dyDescent="0.3">
      <c r="A1094" t="s">
        <v>115</v>
      </c>
      <c r="B1094" t="s">
        <v>469</v>
      </c>
      <c r="C1094" t="s">
        <v>64</v>
      </c>
      <c r="D1094" t="s">
        <v>2444</v>
      </c>
    </row>
    <row r="1095" spans="1:4" x14ac:dyDescent="0.3">
      <c r="A1095" t="s">
        <v>115</v>
      </c>
      <c r="B1095" t="s">
        <v>469</v>
      </c>
      <c r="C1095" t="s">
        <v>64</v>
      </c>
      <c r="D1095" t="s">
        <v>2445</v>
      </c>
    </row>
    <row r="1096" spans="1:4" x14ac:dyDescent="0.3">
      <c r="A1096" t="s">
        <v>115</v>
      </c>
      <c r="B1096" t="s">
        <v>469</v>
      </c>
      <c r="C1096" t="s">
        <v>64</v>
      </c>
      <c r="D1096" t="s">
        <v>2446</v>
      </c>
    </row>
    <row r="1097" spans="1:4" x14ac:dyDescent="0.3">
      <c r="A1097" t="s">
        <v>115</v>
      </c>
      <c r="B1097" t="s">
        <v>469</v>
      </c>
      <c r="C1097" t="s">
        <v>64</v>
      </c>
      <c r="D1097" t="s">
        <v>2447</v>
      </c>
    </row>
    <row r="1098" spans="1:4" x14ac:dyDescent="0.3">
      <c r="A1098" t="s">
        <v>115</v>
      </c>
      <c r="B1098" t="s">
        <v>469</v>
      </c>
      <c r="C1098" t="s">
        <v>64</v>
      </c>
      <c r="D1098" t="s">
        <v>2448</v>
      </c>
    </row>
    <row r="1099" spans="1:4" x14ac:dyDescent="0.3">
      <c r="A1099" t="s">
        <v>115</v>
      </c>
      <c r="B1099" t="s">
        <v>469</v>
      </c>
      <c r="C1099" t="s">
        <v>73</v>
      </c>
      <c r="D1099" t="s">
        <v>2449</v>
      </c>
    </row>
    <row r="1100" spans="1:4" x14ac:dyDescent="0.3">
      <c r="A1100" t="s">
        <v>115</v>
      </c>
      <c r="B1100" t="s">
        <v>469</v>
      </c>
      <c r="C1100" t="s">
        <v>73</v>
      </c>
      <c r="D1100" t="s">
        <v>2450</v>
      </c>
    </row>
    <row r="1101" spans="1:4" x14ac:dyDescent="0.3">
      <c r="A1101" t="s">
        <v>115</v>
      </c>
      <c r="B1101" t="s">
        <v>469</v>
      </c>
      <c r="C1101" t="s">
        <v>73</v>
      </c>
      <c r="D1101" t="s">
        <v>2451</v>
      </c>
    </row>
    <row r="1102" spans="1:4" x14ac:dyDescent="0.3">
      <c r="A1102" t="s">
        <v>115</v>
      </c>
      <c r="B1102" t="s">
        <v>469</v>
      </c>
      <c r="C1102" t="s">
        <v>73</v>
      </c>
      <c r="D1102" t="s">
        <v>2452</v>
      </c>
    </row>
    <row r="1103" spans="1:4" x14ac:dyDescent="0.3">
      <c r="A1103" t="s">
        <v>115</v>
      </c>
      <c r="B1103" t="s">
        <v>469</v>
      </c>
      <c r="C1103" t="s">
        <v>73</v>
      </c>
      <c r="D1103" t="s">
        <v>2453</v>
      </c>
    </row>
    <row r="1104" spans="1:4" x14ac:dyDescent="0.3">
      <c r="A1104" t="s">
        <v>115</v>
      </c>
      <c r="B1104" t="s">
        <v>469</v>
      </c>
      <c r="C1104" t="s">
        <v>73</v>
      </c>
      <c r="D1104" t="s">
        <v>2454</v>
      </c>
    </row>
    <row r="1105" spans="1:4" x14ac:dyDescent="0.3">
      <c r="A1105" t="s">
        <v>115</v>
      </c>
      <c r="B1105" t="s">
        <v>469</v>
      </c>
      <c r="C1105" t="s">
        <v>73</v>
      </c>
      <c r="D1105" t="s">
        <v>2455</v>
      </c>
    </row>
    <row r="1106" spans="1:4" x14ac:dyDescent="0.3">
      <c r="A1106" t="s">
        <v>115</v>
      </c>
      <c r="B1106" t="s">
        <v>469</v>
      </c>
      <c r="C1106" t="s">
        <v>73</v>
      </c>
      <c r="D1106" t="s">
        <v>2456</v>
      </c>
    </row>
    <row r="1107" spans="1:4" x14ac:dyDescent="0.3">
      <c r="A1107" t="s">
        <v>115</v>
      </c>
      <c r="B1107" t="s">
        <v>469</v>
      </c>
      <c r="C1107" t="s">
        <v>61</v>
      </c>
      <c r="D1107" t="s">
        <v>2457</v>
      </c>
    </row>
    <row r="1108" spans="1:4" x14ac:dyDescent="0.3">
      <c r="A1108" t="s">
        <v>115</v>
      </c>
      <c r="B1108" t="s">
        <v>469</v>
      </c>
      <c r="C1108" t="s">
        <v>61</v>
      </c>
      <c r="D1108" t="s">
        <v>2458</v>
      </c>
    </row>
    <row r="1109" spans="1:4" x14ac:dyDescent="0.3">
      <c r="A1109" t="s">
        <v>115</v>
      </c>
      <c r="B1109" t="s">
        <v>469</v>
      </c>
      <c r="C1109" t="s">
        <v>61</v>
      </c>
      <c r="D1109" t="s">
        <v>2459</v>
      </c>
    </row>
    <row r="1110" spans="1:4" x14ac:dyDescent="0.3">
      <c r="A1110" t="s">
        <v>115</v>
      </c>
      <c r="B1110" t="s">
        <v>469</v>
      </c>
      <c r="C1110" t="s">
        <v>61</v>
      </c>
      <c r="D1110" t="s">
        <v>2460</v>
      </c>
    </row>
    <row r="1111" spans="1:4" x14ac:dyDescent="0.3">
      <c r="A1111" t="s">
        <v>115</v>
      </c>
      <c r="B1111" t="s">
        <v>469</v>
      </c>
      <c r="C1111" t="s">
        <v>61</v>
      </c>
      <c r="D1111" t="s">
        <v>2461</v>
      </c>
    </row>
    <row r="1112" spans="1:4" x14ac:dyDescent="0.3">
      <c r="A1112" t="s">
        <v>115</v>
      </c>
      <c r="B1112" t="s">
        <v>469</v>
      </c>
      <c r="C1112" t="s">
        <v>61</v>
      </c>
      <c r="D1112" t="s">
        <v>2462</v>
      </c>
    </row>
    <row r="1113" spans="1:4" x14ac:dyDescent="0.3">
      <c r="A1113" t="s">
        <v>115</v>
      </c>
      <c r="B1113" t="s">
        <v>469</v>
      </c>
      <c r="C1113" t="s">
        <v>61</v>
      </c>
      <c r="D1113" t="s">
        <v>2463</v>
      </c>
    </row>
    <row r="1114" spans="1:4" x14ac:dyDescent="0.3">
      <c r="A1114" t="s">
        <v>115</v>
      </c>
      <c r="B1114" t="s">
        <v>469</v>
      </c>
      <c r="C1114" t="s">
        <v>61</v>
      </c>
      <c r="D1114" t="s">
        <v>2464</v>
      </c>
    </row>
    <row r="1115" spans="1:4" x14ac:dyDescent="0.3">
      <c r="A1115" t="s">
        <v>115</v>
      </c>
      <c r="B1115" t="s">
        <v>469</v>
      </c>
      <c r="C1115" t="s">
        <v>67</v>
      </c>
      <c r="D1115" t="s">
        <v>2465</v>
      </c>
    </row>
    <row r="1116" spans="1:4" x14ac:dyDescent="0.3">
      <c r="A1116" t="s">
        <v>115</v>
      </c>
      <c r="B1116" t="s">
        <v>469</v>
      </c>
      <c r="C1116" t="s">
        <v>67</v>
      </c>
      <c r="D1116" t="s">
        <v>2466</v>
      </c>
    </row>
    <row r="1117" spans="1:4" x14ac:dyDescent="0.3">
      <c r="A1117" t="s">
        <v>115</v>
      </c>
      <c r="B1117" t="s">
        <v>469</v>
      </c>
      <c r="C1117" t="s">
        <v>67</v>
      </c>
      <c r="D1117" t="s">
        <v>2467</v>
      </c>
    </row>
    <row r="1118" spans="1:4" x14ac:dyDescent="0.3">
      <c r="A1118" t="s">
        <v>115</v>
      </c>
      <c r="B1118" t="s">
        <v>469</v>
      </c>
      <c r="C1118" t="s">
        <v>67</v>
      </c>
      <c r="D1118" t="s">
        <v>2468</v>
      </c>
    </row>
    <row r="1119" spans="1:4" x14ac:dyDescent="0.3">
      <c r="A1119" t="s">
        <v>115</v>
      </c>
      <c r="B1119" t="s">
        <v>469</v>
      </c>
      <c r="C1119" t="s">
        <v>67</v>
      </c>
      <c r="D1119" t="s">
        <v>2469</v>
      </c>
    </row>
    <row r="1120" spans="1:4" x14ac:dyDescent="0.3">
      <c r="A1120" t="s">
        <v>115</v>
      </c>
      <c r="B1120" t="s">
        <v>469</v>
      </c>
      <c r="C1120" t="s">
        <v>67</v>
      </c>
      <c r="D1120" t="s">
        <v>2470</v>
      </c>
    </row>
    <row r="1121" spans="1:4" x14ac:dyDescent="0.3">
      <c r="A1121" t="s">
        <v>115</v>
      </c>
      <c r="B1121" t="s">
        <v>469</v>
      </c>
      <c r="C1121" t="s">
        <v>67</v>
      </c>
      <c r="D1121" t="s">
        <v>2471</v>
      </c>
    </row>
    <row r="1122" spans="1:4" x14ac:dyDescent="0.3">
      <c r="A1122" t="s">
        <v>115</v>
      </c>
      <c r="B1122" t="s">
        <v>469</v>
      </c>
      <c r="C1122" t="s">
        <v>67</v>
      </c>
      <c r="D1122" t="s">
        <v>2472</v>
      </c>
    </row>
    <row r="1123" spans="1:4" x14ac:dyDescent="0.3">
      <c r="A1123" t="s">
        <v>115</v>
      </c>
      <c r="B1123" t="s">
        <v>642</v>
      </c>
      <c r="C1123" t="s">
        <v>64</v>
      </c>
      <c r="D1123" t="s">
        <v>435</v>
      </c>
    </row>
    <row r="1124" spans="1:4" x14ac:dyDescent="0.3">
      <c r="A1124" t="s">
        <v>115</v>
      </c>
      <c r="B1124" t="s">
        <v>642</v>
      </c>
      <c r="C1124" t="s">
        <v>64</v>
      </c>
      <c r="D1124" t="s">
        <v>607</v>
      </c>
    </row>
    <row r="1125" spans="1:4" x14ac:dyDescent="0.3">
      <c r="A1125" t="s">
        <v>115</v>
      </c>
      <c r="B1125" t="s">
        <v>642</v>
      </c>
      <c r="C1125" t="s">
        <v>64</v>
      </c>
      <c r="D1125" t="s">
        <v>776</v>
      </c>
    </row>
    <row r="1126" spans="1:4" x14ac:dyDescent="0.3">
      <c r="A1126" t="s">
        <v>115</v>
      </c>
      <c r="B1126" t="s">
        <v>642</v>
      </c>
      <c r="C1126" t="s">
        <v>64</v>
      </c>
      <c r="D1126" t="s">
        <v>940</v>
      </c>
    </row>
    <row r="1127" spans="1:4" x14ac:dyDescent="0.3">
      <c r="A1127" t="s">
        <v>115</v>
      </c>
      <c r="B1127" t="s">
        <v>642</v>
      </c>
      <c r="C1127" t="s">
        <v>64</v>
      </c>
      <c r="D1127" t="s">
        <v>1107</v>
      </c>
    </row>
    <row r="1128" spans="1:4" x14ac:dyDescent="0.3">
      <c r="A1128" t="s">
        <v>115</v>
      </c>
      <c r="B1128" t="s">
        <v>642</v>
      </c>
      <c r="C1128" t="s">
        <v>64</v>
      </c>
      <c r="D1128" t="s">
        <v>1278</v>
      </c>
    </row>
    <row r="1129" spans="1:4" x14ac:dyDescent="0.3">
      <c r="A1129" t="s">
        <v>115</v>
      </c>
      <c r="B1129" t="s">
        <v>642</v>
      </c>
      <c r="C1129" t="s">
        <v>64</v>
      </c>
      <c r="D1129" t="s">
        <v>1449</v>
      </c>
    </row>
    <row r="1130" spans="1:4" x14ac:dyDescent="0.3">
      <c r="A1130" t="s">
        <v>115</v>
      </c>
      <c r="B1130" t="s">
        <v>642</v>
      </c>
      <c r="C1130" t="s">
        <v>64</v>
      </c>
      <c r="D1130" t="s">
        <v>1618</v>
      </c>
    </row>
    <row r="1131" spans="1:4" x14ac:dyDescent="0.3">
      <c r="A1131" t="s">
        <v>115</v>
      </c>
      <c r="B1131" t="s">
        <v>642</v>
      </c>
      <c r="C1131" t="s">
        <v>73</v>
      </c>
      <c r="D1131" t="s">
        <v>442</v>
      </c>
    </row>
    <row r="1132" spans="1:4" x14ac:dyDescent="0.3">
      <c r="A1132" t="s">
        <v>115</v>
      </c>
      <c r="B1132" t="s">
        <v>642</v>
      </c>
      <c r="C1132" t="s">
        <v>73</v>
      </c>
      <c r="D1132" t="s">
        <v>614</v>
      </c>
    </row>
    <row r="1133" spans="1:4" x14ac:dyDescent="0.3">
      <c r="A1133" t="s">
        <v>115</v>
      </c>
      <c r="B1133" t="s">
        <v>642</v>
      </c>
      <c r="C1133" t="s">
        <v>73</v>
      </c>
      <c r="D1133" t="s">
        <v>783</v>
      </c>
    </row>
    <row r="1134" spans="1:4" x14ac:dyDescent="0.3">
      <c r="A1134" t="s">
        <v>115</v>
      </c>
      <c r="B1134" t="s">
        <v>642</v>
      </c>
      <c r="C1134" t="s">
        <v>73</v>
      </c>
      <c r="D1134" t="s">
        <v>947</v>
      </c>
    </row>
    <row r="1135" spans="1:4" x14ac:dyDescent="0.3">
      <c r="A1135" t="s">
        <v>115</v>
      </c>
      <c r="B1135" t="s">
        <v>642</v>
      </c>
      <c r="C1135" t="s">
        <v>73</v>
      </c>
      <c r="D1135" t="s">
        <v>1114</v>
      </c>
    </row>
    <row r="1136" spans="1:4" x14ac:dyDescent="0.3">
      <c r="A1136" t="s">
        <v>115</v>
      </c>
      <c r="B1136" t="s">
        <v>642</v>
      </c>
      <c r="C1136" t="s">
        <v>73</v>
      </c>
      <c r="D1136" t="s">
        <v>1285</v>
      </c>
    </row>
    <row r="1137" spans="1:4" x14ac:dyDescent="0.3">
      <c r="A1137" t="s">
        <v>115</v>
      </c>
      <c r="B1137" t="s">
        <v>642</v>
      </c>
      <c r="C1137" t="s">
        <v>73</v>
      </c>
      <c r="D1137" t="s">
        <v>1456</v>
      </c>
    </row>
    <row r="1138" spans="1:4" x14ac:dyDescent="0.3">
      <c r="A1138" t="s">
        <v>115</v>
      </c>
      <c r="B1138" t="s">
        <v>642</v>
      </c>
      <c r="C1138" t="s">
        <v>73</v>
      </c>
      <c r="D1138" t="s">
        <v>1625</v>
      </c>
    </row>
    <row r="1139" spans="1:4" x14ac:dyDescent="0.3">
      <c r="A1139" t="s">
        <v>115</v>
      </c>
      <c r="B1139" t="s">
        <v>642</v>
      </c>
      <c r="C1139" t="s">
        <v>61</v>
      </c>
      <c r="D1139" t="s">
        <v>2473</v>
      </c>
    </row>
    <row r="1140" spans="1:4" x14ac:dyDescent="0.3">
      <c r="A1140" t="s">
        <v>115</v>
      </c>
      <c r="B1140" t="s">
        <v>642</v>
      </c>
      <c r="C1140" t="s">
        <v>61</v>
      </c>
      <c r="D1140" t="s">
        <v>2474</v>
      </c>
    </row>
    <row r="1141" spans="1:4" x14ac:dyDescent="0.3">
      <c r="A1141" t="s">
        <v>115</v>
      </c>
      <c r="B1141" t="s">
        <v>642</v>
      </c>
      <c r="C1141" t="s">
        <v>61</v>
      </c>
      <c r="D1141" t="s">
        <v>2475</v>
      </c>
    </row>
    <row r="1142" spans="1:4" x14ac:dyDescent="0.3">
      <c r="A1142" t="s">
        <v>115</v>
      </c>
      <c r="B1142" t="s">
        <v>642</v>
      </c>
      <c r="C1142" t="s">
        <v>61</v>
      </c>
      <c r="D1142" t="s">
        <v>2476</v>
      </c>
    </row>
    <row r="1143" spans="1:4" x14ac:dyDescent="0.3">
      <c r="A1143" t="s">
        <v>115</v>
      </c>
      <c r="B1143" t="s">
        <v>642</v>
      </c>
      <c r="C1143" t="s">
        <v>61</v>
      </c>
      <c r="D1143" t="s">
        <v>2477</v>
      </c>
    </row>
    <row r="1144" spans="1:4" x14ac:dyDescent="0.3">
      <c r="A1144" t="s">
        <v>115</v>
      </c>
      <c r="B1144" t="s">
        <v>642</v>
      </c>
      <c r="C1144" t="s">
        <v>61</v>
      </c>
      <c r="D1144" t="s">
        <v>1292</v>
      </c>
    </row>
    <row r="1145" spans="1:4" x14ac:dyDescent="0.3">
      <c r="A1145" t="s">
        <v>115</v>
      </c>
      <c r="B1145" t="s">
        <v>642</v>
      </c>
      <c r="C1145" t="s">
        <v>61</v>
      </c>
      <c r="D1145" t="s">
        <v>1463</v>
      </c>
    </row>
    <row r="1146" spans="1:4" x14ac:dyDescent="0.3">
      <c r="A1146" t="s">
        <v>115</v>
      </c>
      <c r="B1146" t="s">
        <v>642</v>
      </c>
      <c r="C1146" t="s">
        <v>61</v>
      </c>
      <c r="D1146" t="s">
        <v>1632</v>
      </c>
    </row>
    <row r="1147" spans="1:4" x14ac:dyDescent="0.3">
      <c r="A1147" t="s">
        <v>115</v>
      </c>
      <c r="B1147" t="s">
        <v>642</v>
      </c>
      <c r="C1147" t="s">
        <v>67</v>
      </c>
      <c r="D1147" t="s">
        <v>455</v>
      </c>
    </row>
    <row r="1148" spans="1:4" x14ac:dyDescent="0.3">
      <c r="A1148" t="s">
        <v>115</v>
      </c>
      <c r="B1148" t="s">
        <v>642</v>
      </c>
      <c r="C1148" t="s">
        <v>67</v>
      </c>
      <c r="D1148" t="s">
        <v>628</v>
      </c>
    </row>
    <row r="1149" spans="1:4" x14ac:dyDescent="0.3">
      <c r="A1149" t="s">
        <v>115</v>
      </c>
      <c r="B1149" t="s">
        <v>642</v>
      </c>
      <c r="C1149" t="s">
        <v>67</v>
      </c>
      <c r="D1149" t="s">
        <v>797</v>
      </c>
    </row>
    <row r="1150" spans="1:4" x14ac:dyDescent="0.3">
      <c r="A1150" t="s">
        <v>115</v>
      </c>
      <c r="B1150" t="s">
        <v>642</v>
      </c>
      <c r="C1150" t="s">
        <v>67</v>
      </c>
      <c r="D1150" t="s">
        <v>958</v>
      </c>
    </row>
    <row r="1151" spans="1:4" x14ac:dyDescent="0.3">
      <c r="A1151" t="s">
        <v>115</v>
      </c>
      <c r="B1151" t="s">
        <v>642</v>
      </c>
      <c r="C1151" t="s">
        <v>67</v>
      </c>
      <c r="D1151" t="s">
        <v>1128</v>
      </c>
    </row>
    <row r="1152" spans="1:4" x14ac:dyDescent="0.3">
      <c r="A1152" t="s">
        <v>115</v>
      </c>
      <c r="B1152" t="s">
        <v>642</v>
      </c>
      <c r="C1152" t="s">
        <v>67</v>
      </c>
      <c r="D1152" t="s">
        <v>2478</v>
      </c>
    </row>
    <row r="1153" spans="1:4" x14ac:dyDescent="0.3">
      <c r="A1153" t="s">
        <v>115</v>
      </c>
      <c r="B1153" t="s">
        <v>642</v>
      </c>
      <c r="C1153" t="s">
        <v>67</v>
      </c>
      <c r="D1153" t="s">
        <v>1470</v>
      </c>
    </row>
    <row r="1154" spans="1:4" x14ac:dyDescent="0.3">
      <c r="A1154" t="s">
        <v>115</v>
      </c>
      <c r="B1154" t="s">
        <v>642</v>
      </c>
      <c r="C1154" t="s">
        <v>67</v>
      </c>
      <c r="D1154" t="s">
        <v>1639</v>
      </c>
    </row>
    <row r="1155" spans="1:4" x14ac:dyDescent="0.3">
      <c r="A1155" t="s">
        <v>115</v>
      </c>
      <c r="B1155" t="s">
        <v>101</v>
      </c>
      <c r="C1155" t="s">
        <v>64</v>
      </c>
      <c r="D1155" t="s">
        <v>431</v>
      </c>
    </row>
    <row r="1156" spans="1:4" x14ac:dyDescent="0.3">
      <c r="A1156" t="s">
        <v>115</v>
      </c>
      <c r="B1156" t="s">
        <v>101</v>
      </c>
      <c r="C1156" t="s">
        <v>64</v>
      </c>
      <c r="D1156" t="s">
        <v>603</v>
      </c>
    </row>
    <row r="1157" spans="1:4" x14ac:dyDescent="0.3">
      <c r="A1157" t="s">
        <v>115</v>
      </c>
      <c r="B1157" t="s">
        <v>101</v>
      </c>
      <c r="C1157" t="s">
        <v>64</v>
      </c>
      <c r="D1157" t="s">
        <v>772</v>
      </c>
    </row>
    <row r="1158" spans="1:4" x14ac:dyDescent="0.3">
      <c r="A1158" t="s">
        <v>115</v>
      </c>
      <c r="B1158" t="s">
        <v>101</v>
      </c>
      <c r="C1158" t="s">
        <v>64</v>
      </c>
      <c r="D1158" t="s">
        <v>936</v>
      </c>
    </row>
    <row r="1159" spans="1:4" x14ac:dyDescent="0.3">
      <c r="A1159" t="s">
        <v>115</v>
      </c>
      <c r="B1159" t="s">
        <v>101</v>
      </c>
      <c r="C1159" t="s">
        <v>64</v>
      </c>
      <c r="D1159" t="s">
        <v>1103</v>
      </c>
    </row>
    <row r="1160" spans="1:4" x14ac:dyDescent="0.3">
      <c r="A1160" t="s">
        <v>115</v>
      </c>
      <c r="B1160" t="s">
        <v>101</v>
      </c>
      <c r="C1160" t="s">
        <v>64</v>
      </c>
      <c r="D1160" t="s">
        <v>1274</v>
      </c>
    </row>
    <row r="1161" spans="1:4" x14ac:dyDescent="0.3">
      <c r="A1161" t="s">
        <v>115</v>
      </c>
      <c r="B1161" t="s">
        <v>101</v>
      </c>
      <c r="C1161" t="s">
        <v>64</v>
      </c>
      <c r="D1161" t="s">
        <v>1445</v>
      </c>
    </row>
    <row r="1162" spans="1:4" x14ac:dyDescent="0.3">
      <c r="A1162" t="s">
        <v>115</v>
      </c>
      <c r="B1162" t="s">
        <v>101</v>
      </c>
      <c r="C1162" t="s">
        <v>64</v>
      </c>
      <c r="D1162" t="s">
        <v>1614</v>
      </c>
    </row>
    <row r="1163" spans="1:4" x14ac:dyDescent="0.3">
      <c r="A1163" t="s">
        <v>115</v>
      </c>
      <c r="B1163" t="s">
        <v>101</v>
      </c>
      <c r="C1163" t="s">
        <v>73</v>
      </c>
      <c r="D1163" t="s">
        <v>438</v>
      </c>
    </row>
    <row r="1164" spans="1:4" x14ac:dyDescent="0.3">
      <c r="A1164" t="s">
        <v>115</v>
      </c>
      <c r="B1164" t="s">
        <v>101</v>
      </c>
      <c r="C1164" t="s">
        <v>73</v>
      </c>
      <c r="D1164" t="s">
        <v>610</v>
      </c>
    </row>
    <row r="1165" spans="1:4" x14ac:dyDescent="0.3">
      <c r="A1165" t="s">
        <v>115</v>
      </c>
      <c r="B1165" t="s">
        <v>101</v>
      </c>
      <c r="C1165" t="s">
        <v>73</v>
      </c>
      <c r="D1165" t="s">
        <v>779</v>
      </c>
    </row>
    <row r="1166" spans="1:4" x14ac:dyDescent="0.3">
      <c r="A1166" t="s">
        <v>115</v>
      </c>
      <c r="B1166" t="s">
        <v>101</v>
      </c>
      <c r="C1166" t="s">
        <v>73</v>
      </c>
      <c r="D1166" t="s">
        <v>943</v>
      </c>
    </row>
    <row r="1167" spans="1:4" x14ac:dyDescent="0.3">
      <c r="A1167" t="s">
        <v>115</v>
      </c>
      <c r="B1167" t="s">
        <v>101</v>
      </c>
      <c r="C1167" t="s">
        <v>73</v>
      </c>
      <c r="D1167" t="s">
        <v>1110</v>
      </c>
    </row>
    <row r="1168" spans="1:4" x14ac:dyDescent="0.3">
      <c r="A1168" t="s">
        <v>115</v>
      </c>
      <c r="B1168" t="s">
        <v>101</v>
      </c>
      <c r="C1168" t="s">
        <v>73</v>
      </c>
      <c r="D1168" t="s">
        <v>1281</v>
      </c>
    </row>
    <row r="1169" spans="1:4" x14ac:dyDescent="0.3">
      <c r="A1169" t="s">
        <v>115</v>
      </c>
      <c r="B1169" t="s">
        <v>101</v>
      </c>
      <c r="C1169" t="s">
        <v>73</v>
      </c>
      <c r="D1169" t="s">
        <v>1452</v>
      </c>
    </row>
    <row r="1170" spans="1:4" x14ac:dyDescent="0.3">
      <c r="A1170" t="s">
        <v>115</v>
      </c>
      <c r="B1170" t="s">
        <v>101</v>
      </c>
      <c r="C1170" t="s">
        <v>73</v>
      </c>
      <c r="D1170" t="s">
        <v>1621</v>
      </c>
    </row>
    <row r="1171" spans="1:4" x14ac:dyDescent="0.3">
      <c r="A1171" t="s">
        <v>115</v>
      </c>
      <c r="B1171" t="s">
        <v>101</v>
      </c>
      <c r="C1171" t="s">
        <v>61</v>
      </c>
      <c r="D1171" t="s">
        <v>2479</v>
      </c>
    </row>
    <row r="1172" spans="1:4" x14ac:dyDescent="0.3">
      <c r="A1172" t="s">
        <v>115</v>
      </c>
      <c r="B1172" t="s">
        <v>101</v>
      </c>
      <c r="C1172" t="s">
        <v>61</v>
      </c>
      <c r="D1172" t="s">
        <v>2480</v>
      </c>
    </row>
    <row r="1173" spans="1:4" x14ac:dyDescent="0.3">
      <c r="A1173" t="s">
        <v>115</v>
      </c>
      <c r="B1173" t="s">
        <v>101</v>
      </c>
      <c r="C1173" t="s">
        <v>61</v>
      </c>
      <c r="D1173" t="s">
        <v>2481</v>
      </c>
    </row>
    <row r="1174" spans="1:4" x14ac:dyDescent="0.3">
      <c r="A1174" t="s">
        <v>115</v>
      </c>
      <c r="B1174" t="s">
        <v>101</v>
      </c>
      <c r="C1174" t="s">
        <v>61</v>
      </c>
      <c r="D1174" t="s">
        <v>2482</v>
      </c>
    </row>
    <row r="1175" spans="1:4" x14ac:dyDescent="0.3">
      <c r="A1175" t="s">
        <v>115</v>
      </c>
      <c r="B1175" t="s">
        <v>101</v>
      </c>
      <c r="C1175" t="s">
        <v>61</v>
      </c>
      <c r="D1175" t="s">
        <v>2483</v>
      </c>
    </row>
    <row r="1176" spans="1:4" x14ac:dyDescent="0.3">
      <c r="A1176" t="s">
        <v>115</v>
      </c>
      <c r="B1176" t="s">
        <v>101</v>
      </c>
      <c r="C1176" t="s">
        <v>61</v>
      </c>
      <c r="D1176" t="s">
        <v>2484</v>
      </c>
    </row>
    <row r="1177" spans="1:4" x14ac:dyDescent="0.3">
      <c r="A1177" t="s">
        <v>115</v>
      </c>
      <c r="B1177" t="s">
        <v>101</v>
      </c>
      <c r="C1177" t="s">
        <v>61</v>
      </c>
      <c r="D1177" t="s">
        <v>2485</v>
      </c>
    </row>
    <row r="1178" spans="1:4" x14ac:dyDescent="0.3">
      <c r="A1178" t="s">
        <v>115</v>
      </c>
      <c r="B1178" t="s">
        <v>101</v>
      </c>
      <c r="C1178" t="s">
        <v>61</v>
      </c>
      <c r="D1178" t="s">
        <v>1628</v>
      </c>
    </row>
    <row r="1179" spans="1:4" x14ac:dyDescent="0.3">
      <c r="A1179" t="s">
        <v>115</v>
      </c>
      <c r="B1179" t="s">
        <v>101</v>
      </c>
      <c r="C1179" t="s">
        <v>67</v>
      </c>
      <c r="D1179" t="s">
        <v>2486</v>
      </c>
    </row>
    <row r="1180" spans="1:4" x14ac:dyDescent="0.3">
      <c r="A1180" t="s">
        <v>115</v>
      </c>
      <c r="B1180" t="s">
        <v>101</v>
      </c>
      <c r="C1180" t="s">
        <v>67</v>
      </c>
      <c r="D1180" t="s">
        <v>624</v>
      </c>
    </row>
    <row r="1181" spans="1:4" x14ac:dyDescent="0.3">
      <c r="A1181" t="s">
        <v>115</v>
      </c>
      <c r="B1181" t="s">
        <v>101</v>
      </c>
      <c r="C1181" t="s">
        <v>67</v>
      </c>
      <c r="D1181" t="s">
        <v>2487</v>
      </c>
    </row>
    <row r="1182" spans="1:4" x14ac:dyDescent="0.3">
      <c r="A1182" t="s">
        <v>115</v>
      </c>
      <c r="B1182" t="s">
        <v>101</v>
      </c>
      <c r="C1182" t="s">
        <v>67</v>
      </c>
      <c r="D1182" t="s">
        <v>2488</v>
      </c>
    </row>
    <row r="1183" spans="1:4" x14ac:dyDescent="0.3">
      <c r="A1183" t="s">
        <v>115</v>
      </c>
      <c r="B1183" t="s">
        <v>101</v>
      </c>
      <c r="C1183" t="s">
        <v>67</v>
      </c>
      <c r="D1183" t="s">
        <v>2489</v>
      </c>
    </row>
    <row r="1184" spans="1:4" x14ac:dyDescent="0.3">
      <c r="A1184" t="s">
        <v>115</v>
      </c>
      <c r="B1184" t="s">
        <v>101</v>
      </c>
      <c r="C1184" t="s">
        <v>67</v>
      </c>
      <c r="D1184" t="s">
        <v>2490</v>
      </c>
    </row>
    <row r="1185" spans="1:4" x14ac:dyDescent="0.3">
      <c r="A1185" t="s">
        <v>115</v>
      </c>
      <c r="B1185" t="s">
        <v>101</v>
      </c>
      <c r="C1185" t="s">
        <v>67</v>
      </c>
      <c r="D1185" t="s">
        <v>2491</v>
      </c>
    </row>
    <row r="1186" spans="1:4" x14ac:dyDescent="0.3">
      <c r="A1186" t="s">
        <v>115</v>
      </c>
      <c r="B1186" t="s">
        <v>101</v>
      </c>
      <c r="C1186" t="s">
        <v>67</v>
      </c>
      <c r="D1186" t="s">
        <v>2492</v>
      </c>
    </row>
    <row r="1187" spans="1:4" x14ac:dyDescent="0.3">
      <c r="A1187" t="s">
        <v>115</v>
      </c>
      <c r="B1187" t="s">
        <v>810</v>
      </c>
      <c r="C1187" t="s">
        <v>64</v>
      </c>
      <c r="D1187" t="s">
        <v>2493</v>
      </c>
    </row>
    <row r="1188" spans="1:4" x14ac:dyDescent="0.3">
      <c r="A1188" t="s">
        <v>115</v>
      </c>
      <c r="B1188" t="s">
        <v>810</v>
      </c>
      <c r="C1188" t="s">
        <v>64</v>
      </c>
      <c r="D1188" t="s">
        <v>2494</v>
      </c>
    </row>
    <row r="1189" spans="1:4" x14ac:dyDescent="0.3">
      <c r="A1189" t="s">
        <v>115</v>
      </c>
      <c r="B1189" t="s">
        <v>810</v>
      </c>
      <c r="C1189" t="s">
        <v>64</v>
      </c>
      <c r="D1189" t="s">
        <v>2495</v>
      </c>
    </row>
    <row r="1190" spans="1:4" x14ac:dyDescent="0.3">
      <c r="A1190" t="s">
        <v>115</v>
      </c>
      <c r="B1190" t="s">
        <v>810</v>
      </c>
      <c r="C1190" t="s">
        <v>64</v>
      </c>
      <c r="D1190" t="s">
        <v>2496</v>
      </c>
    </row>
    <row r="1191" spans="1:4" x14ac:dyDescent="0.3">
      <c r="A1191" t="s">
        <v>115</v>
      </c>
      <c r="B1191" t="s">
        <v>810</v>
      </c>
      <c r="C1191" t="s">
        <v>64</v>
      </c>
      <c r="D1191" t="s">
        <v>2497</v>
      </c>
    </row>
    <row r="1192" spans="1:4" x14ac:dyDescent="0.3">
      <c r="A1192" t="s">
        <v>115</v>
      </c>
      <c r="B1192" t="s">
        <v>810</v>
      </c>
      <c r="C1192" t="s">
        <v>64</v>
      </c>
      <c r="D1192" t="s">
        <v>2498</v>
      </c>
    </row>
    <row r="1193" spans="1:4" x14ac:dyDescent="0.3">
      <c r="A1193" t="s">
        <v>115</v>
      </c>
      <c r="B1193" t="s">
        <v>810</v>
      </c>
      <c r="C1193" t="s">
        <v>64</v>
      </c>
      <c r="D1193" t="s">
        <v>2499</v>
      </c>
    </row>
    <row r="1194" spans="1:4" x14ac:dyDescent="0.3">
      <c r="A1194" t="s">
        <v>115</v>
      </c>
      <c r="B1194" t="s">
        <v>810</v>
      </c>
      <c r="C1194" t="s">
        <v>64</v>
      </c>
      <c r="D1194" t="s">
        <v>2500</v>
      </c>
    </row>
    <row r="1195" spans="1:4" x14ac:dyDescent="0.3">
      <c r="A1195" t="s">
        <v>115</v>
      </c>
      <c r="B1195" t="s">
        <v>810</v>
      </c>
      <c r="C1195" t="s">
        <v>64</v>
      </c>
      <c r="D1195" t="s">
        <v>2501</v>
      </c>
    </row>
    <row r="1196" spans="1:4" x14ac:dyDescent="0.3">
      <c r="A1196" t="s">
        <v>115</v>
      </c>
      <c r="B1196" t="s">
        <v>810</v>
      </c>
      <c r="C1196" t="s">
        <v>64</v>
      </c>
      <c r="D1196" t="s">
        <v>2502</v>
      </c>
    </row>
    <row r="1197" spans="1:4" x14ac:dyDescent="0.3">
      <c r="A1197" t="s">
        <v>115</v>
      </c>
      <c r="B1197" t="s">
        <v>810</v>
      </c>
      <c r="C1197" t="s">
        <v>73</v>
      </c>
      <c r="D1197" t="s">
        <v>2503</v>
      </c>
    </row>
    <row r="1198" spans="1:4" x14ac:dyDescent="0.3">
      <c r="A1198" t="s">
        <v>115</v>
      </c>
      <c r="B1198" t="s">
        <v>810</v>
      </c>
      <c r="C1198" t="s">
        <v>73</v>
      </c>
      <c r="D1198" t="s">
        <v>2504</v>
      </c>
    </row>
    <row r="1199" spans="1:4" x14ac:dyDescent="0.3">
      <c r="A1199" t="s">
        <v>115</v>
      </c>
      <c r="B1199" t="s">
        <v>810</v>
      </c>
      <c r="C1199" t="s">
        <v>73</v>
      </c>
      <c r="D1199" t="s">
        <v>2505</v>
      </c>
    </row>
    <row r="1200" spans="1:4" x14ac:dyDescent="0.3">
      <c r="A1200" t="s">
        <v>115</v>
      </c>
      <c r="B1200" t="s">
        <v>810</v>
      </c>
      <c r="C1200" t="s">
        <v>73</v>
      </c>
      <c r="D1200" t="s">
        <v>2506</v>
      </c>
    </row>
    <row r="1201" spans="1:4" x14ac:dyDescent="0.3">
      <c r="A1201" t="s">
        <v>115</v>
      </c>
      <c r="B1201" t="s">
        <v>810</v>
      </c>
      <c r="C1201" t="s">
        <v>73</v>
      </c>
      <c r="D1201" t="s">
        <v>2507</v>
      </c>
    </row>
    <row r="1202" spans="1:4" x14ac:dyDescent="0.3">
      <c r="A1202" t="s">
        <v>115</v>
      </c>
      <c r="B1202" t="s">
        <v>810</v>
      </c>
      <c r="C1202" t="s">
        <v>73</v>
      </c>
      <c r="D1202" t="s">
        <v>2508</v>
      </c>
    </row>
    <row r="1203" spans="1:4" x14ac:dyDescent="0.3">
      <c r="A1203" t="s">
        <v>115</v>
      </c>
      <c r="B1203" t="s">
        <v>810</v>
      </c>
      <c r="C1203" t="s">
        <v>73</v>
      </c>
      <c r="D1203" t="s">
        <v>2509</v>
      </c>
    </row>
    <row r="1204" spans="1:4" x14ac:dyDescent="0.3">
      <c r="A1204" t="s">
        <v>115</v>
      </c>
      <c r="B1204" t="s">
        <v>810</v>
      </c>
      <c r="C1204" t="s">
        <v>73</v>
      </c>
      <c r="D1204" t="s">
        <v>2510</v>
      </c>
    </row>
    <row r="1205" spans="1:4" x14ac:dyDescent="0.3">
      <c r="A1205" t="s">
        <v>115</v>
      </c>
      <c r="B1205" t="s">
        <v>810</v>
      </c>
      <c r="C1205" t="s">
        <v>61</v>
      </c>
      <c r="D1205" t="s">
        <v>2511</v>
      </c>
    </row>
    <row r="1206" spans="1:4" x14ac:dyDescent="0.3">
      <c r="A1206" t="s">
        <v>115</v>
      </c>
      <c r="B1206" t="s">
        <v>810</v>
      </c>
      <c r="C1206" t="s">
        <v>61</v>
      </c>
      <c r="D1206" t="s">
        <v>2512</v>
      </c>
    </row>
    <row r="1207" spans="1:4" x14ac:dyDescent="0.3">
      <c r="A1207" t="s">
        <v>115</v>
      </c>
      <c r="B1207" t="s">
        <v>810</v>
      </c>
      <c r="C1207" t="s">
        <v>61</v>
      </c>
      <c r="D1207" t="s">
        <v>2513</v>
      </c>
    </row>
    <row r="1208" spans="1:4" x14ac:dyDescent="0.3">
      <c r="A1208" t="s">
        <v>115</v>
      </c>
      <c r="B1208" t="s">
        <v>810</v>
      </c>
      <c r="C1208" t="s">
        <v>61</v>
      </c>
      <c r="D1208" t="s">
        <v>2514</v>
      </c>
    </row>
    <row r="1209" spans="1:4" x14ac:dyDescent="0.3">
      <c r="A1209" t="s">
        <v>115</v>
      </c>
      <c r="B1209" t="s">
        <v>810</v>
      </c>
      <c r="C1209" t="s">
        <v>61</v>
      </c>
      <c r="D1209" t="s">
        <v>2515</v>
      </c>
    </row>
    <row r="1210" spans="1:4" x14ac:dyDescent="0.3">
      <c r="A1210" t="s">
        <v>115</v>
      </c>
      <c r="B1210" t="s">
        <v>810</v>
      </c>
      <c r="C1210" t="s">
        <v>61</v>
      </c>
      <c r="D1210" t="s">
        <v>2516</v>
      </c>
    </row>
    <row r="1211" spans="1:4" x14ac:dyDescent="0.3">
      <c r="A1211" t="s">
        <v>115</v>
      </c>
      <c r="B1211" t="s">
        <v>810</v>
      </c>
      <c r="C1211" t="s">
        <v>61</v>
      </c>
      <c r="D1211" t="s">
        <v>2517</v>
      </c>
    </row>
    <row r="1212" spans="1:4" x14ac:dyDescent="0.3">
      <c r="A1212" t="s">
        <v>115</v>
      </c>
      <c r="B1212" t="s">
        <v>810</v>
      </c>
      <c r="C1212" t="s">
        <v>61</v>
      </c>
      <c r="D1212" t="s">
        <v>2518</v>
      </c>
    </row>
    <row r="1213" spans="1:4" x14ac:dyDescent="0.3">
      <c r="A1213" t="s">
        <v>115</v>
      </c>
      <c r="B1213" t="s">
        <v>810</v>
      </c>
      <c r="C1213" t="s">
        <v>67</v>
      </c>
      <c r="D1213" t="s">
        <v>2519</v>
      </c>
    </row>
    <row r="1214" spans="1:4" x14ac:dyDescent="0.3">
      <c r="A1214" t="s">
        <v>115</v>
      </c>
      <c r="B1214" t="s">
        <v>810</v>
      </c>
      <c r="C1214" t="s">
        <v>67</v>
      </c>
      <c r="D1214" t="s">
        <v>2520</v>
      </c>
    </row>
    <row r="1215" spans="1:4" x14ac:dyDescent="0.3">
      <c r="A1215" t="s">
        <v>115</v>
      </c>
      <c r="B1215" t="s">
        <v>810</v>
      </c>
      <c r="C1215" t="s">
        <v>67</v>
      </c>
      <c r="D1215" t="s">
        <v>2521</v>
      </c>
    </row>
    <row r="1216" spans="1:4" x14ac:dyDescent="0.3">
      <c r="A1216" t="s">
        <v>115</v>
      </c>
      <c r="B1216" t="s">
        <v>810</v>
      </c>
      <c r="C1216" t="s">
        <v>67</v>
      </c>
      <c r="D1216" t="s">
        <v>2522</v>
      </c>
    </row>
    <row r="1217" spans="1:4" x14ac:dyDescent="0.3">
      <c r="A1217" t="s">
        <v>115</v>
      </c>
      <c r="B1217" t="s">
        <v>810</v>
      </c>
      <c r="C1217" t="s">
        <v>67</v>
      </c>
      <c r="D1217" t="s">
        <v>2523</v>
      </c>
    </row>
    <row r="1218" spans="1:4" x14ac:dyDescent="0.3">
      <c r="A1218" t="s">
        <v>115</v>
      </c>
      <c r="B1218" t="s">
        <v>810</v>
      </c>
      <c r="C1218" t="s">
        <v>67</v>
      </c>
      <c r="D1218" t="s">
        <v>2524</v>
      </c>
    </row>
    <row r="1219" spans="1:4" x14ac:dyDescent="0.3">
      <c r="A1219" t="s">
        <v>115</v>
      </c>
      <c r="B1219" t="s">
        <v>810</v>
      </c>
      <c r="C1219" t="s">
        <v>67</v>
      </c>
      <c r="D1219" t="s">
        <v>2525</v>
      </c>
    </row>
    <row r="1220" spans="1:4" x14ac:dyDescent="0.3">
      <c r="A1220" t="s">
        <v>115</v>
      </c>
      <c r="B1220" t="s">
        <v>810</v>
      </c>
      <c r="C1220" t="s">
        <v>67</v>
      </c>
      <c r="D1220" t="s">
        <v>2526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A1219"/>
  <sheetViews>
    <sheetView topLeftCell="A188" workbookViewId="0"/>
  </sheetViews>
  <sheetFormatPr defaultRowHeight="14.4" x14ac:dyDescent="0.3"/>
  <sheetData>
    <row r="1" spans="1:157" x14ac:dyDescent="0.3">
      <c r="A1" t="s">
        <v>2527</v>
      </c>
      <c r="B1" t="s">
        <v>2528</v>
      </c>
      <c r="C1" t="s">
        <v>2529</v>
      </c>
      <c r="D1" t="s">
        <v>2530</v>
      </c>
      <c r="E1" t="s">
        <v>2531</v>
      </c>
      <c r="F1" t="s">
        <v>2532</v>
      </c>
      <c r="G1" t="s">
        <v>2533</v>
      </c>
      <c r="H1" t="s">
        <v>2534</v>
      </c>
      <c r="I1" t="s">
        <v>2535</v>
      </c>
      <c r="J1" t="s">
        <v>2536</v>
      </c>
      <c r="K1" t="s">
        <v>2537</v>
      </c>
      <c r="L1" t="s">
        <v>2538</v>
      </c>
      <c r="M1" t="s">
        <v>2539</v>
      </c>
      <c r="N1" t="s">
        <v>2540</v>
      </c>
      <c r="O1" t="s">
        <v>2541</v>
      </c>
      <c r="P1" t="s">
        <v>2542</v>
      </c>
      <c r="Q1" t="s">
        <v>2543</v>
      </c>
      <c r="R1" t="s">
        <v>2544</v>
      </c>
      <c r="S1" t="s">
        <v>2545</v>
      </c>
      <c r="T1" t="s">
        <v>2546</v>
      </c>
      <c r="U1" t="s">
        <v>2547</v>
      </c>
      <c r="V1" t="s">
        <v>2548</v>
      </c>
      <c r="W1" t="s">
        <v>2549</v>
      </c>
      <c r="X1" t="s">
        <v>2550</v>
      </c>
      <c r="Y1" t="s">
        <v>2551</v>
      </c>
      <c r="Z1" t="s">
        <v>2552</v>
      </c>
      <c r="AA1" t="s">
        <v>2553</v>
      </c>
      <c r="AB1" t="s">
        <v>2554</v>
      </c>
      <c r="AC1" t="s">
        <v>2555</v>
      </c>
      <c r="AD1" t="s">
        <v>2556</v>
      </c>
      <c r="AE1" t="s">
        <v>2557</v>
      </c>
      <c r="AF1" t="s">
        <v>2558</v>
      </c>
      <c r="AG1" t="s">
        <v>2559</v>
      </c>
      <c r="AH1" t="s">
        <v>2560</v>
      </c>
      <c r="AI1" t="s">
        <v>2561</v>
      </c>
      <c r="AJ1" t="s">
        <v>2562</v>
      </c>
      <c r="AK1" t="s">
        <v>2563</v>
      </c>
      <c r="AL1" t="s">
        <v>2564</v>
      </c>
      <c r="AM1" t="s">
        <v>2565</v>
      </c>
      <c r="AN1" t="s">
        <v>2566</v>
      </c>
      <c r="AO1" t="s">
        <v>2567</v>
      </c>
      <c r="AP1" t="s">
        <v>2568</v>
      </c>
      <c r="AQ1" t="s">
        <v>2569</v>
      </c>
      <c r="AR1" t="s">
        <v>2570</v>
      </c>
      <c r="AS1" t="s">
        <v>2571</v>
      </c>
      <c r="AT1" t="s">
        <v>2572</v>
      </c>
      <c r="AU1" t="s">
        <v>2573</v>
      </c>
      <c r="AV1" t="s">
        <v>2574</v>
      </c>
      <c r="AW1" t="s">
        <v>2575</v>
      </c>
      <c r="AX1" t="s">
        <v>2576</v>
      </c>
      <c r="AY1" t="s">
        <v>2577</v>
      </c>
      <c r="AZ1" t="s">
        <v>2578</v>
      </c>
      <c r="BA1" t="s">
        <v>2579</v>
      </c>
      <c r="BB1" t="s">
        <v>2580</v>
      </c>
      <c r="BC1" t="s">
        <v>2581</v>
      </c>
      <c r="BD1" t="s">
        <v>2582</v>
      </c>
      <c r="BE1" t="s">
        <v>2583</v>
      </c>
      <c r="BF1" t="s">
        <v>2584</v>
      </c>
      <c r="BG1" t="s">
        <v>2585</v>
      </c>
      <c r="BH1" t="s">
        <v>2586</v>
      </c>
      <c r="BI1" t="s">
        <v>2587</v>
      </c>
      <c r="BJ1" t="s">
        <v>2588</v>
      </c>
      <c r="BK1" t="s">
        <v>2589</v>
      </c>
      <c r="BL1" t="s">
        <v>2590</v>
      </c>
      <c r="BM1" t="s">
        <v>2591</v>
      </c>
      <c r="BN1" t="s">
        <v>2592</v>
      </c>
      <c r="BO1" t="s">
        <v>2593</v>
      </c>
      <c r="BP1" t="s">
        <v>2594</v>
      </c>
      <c r="BQ1" t="s">
        <v>2595</v>
      </c>
      <c r="BR1" t="s">
        <v>2596</v>
      </c>
      <c r="BS1" t="s">
        <v>2597</v>
      </c>
      <c r="BT1" t="s">
        <v>2598</v>
      </c>
      <c r="BU1" t="s">
        <v>2599</v>
      </c>
      <c r="BV1" t="s">
        <v>2600</v>
      </c>
      <c r="BW1" t="s">
        <v>2601</v>
      </c>
      <c r="BX1" t="s">
        <v>2602</v>
      </c>
      <c r="BY1" t="s">
        <v>2603</v>
      </c>
      <c r="BZ1" t="s">
        <v>2604</v>
      </c>
      <c r="CA1" t="s">
        <v>2605</v>
      </c>
      <c r="CB1" t="s">
        <v>2606</v>
      </c>
      <c r="CC1" t="s">
        <v>2607</v>
      </c>
      <c r="CD1" t="s">
        <v>2608</v>
      </c>
      <c r="CE1" t="s">
        <v>2609</v>
      </c>
      <c r="CF1" t="s">
        <v>2610</v>
      </c>
      <c r="CG1" t="s">
        <v>2611</v>
      </c>
      <c r="CH1" t="s">
        <v>2612</v>
      </c>
      <c r="CI1" t="s">
        <v>2613</v>
      </c>
      <c r="CJ1" t="s">
        <v>2614</v>
      </c>
      <c r="CK1" t="s">
        <v>2615</v>
      </c>
      <c r="CL1" t="s">
        <v>2616</v>
      </c>
      <c r="CM1" t="s">
        <v>2617</v>
      </c>
      <c r="CN1" t="s">
        <v>2618</v>
      </c>
      <c r="CO1" t="s">
        <v>2619</v>
      </c>
      <c r="CP1" t="s">
        <v>2620</v>
      </c>
      <c r="CQ1" t="s">
        <v>2621</v>
      </c>
      <c r="CR1" t="s">
        <v>2622</v>
      </c>
      <c r="CS1" t="s">
        <v>2623</v>
      </c>
      <c r="CT1" t="s">
        <v>2624</v>
      </c>
      <c r="CU1" t="s">
        <v>2625</v>
      </c>
      <c r="CV1" t="s">
        <v>2626</v>
      </c>
      <c r="CW1" t="s">
        <v>2627</v>
      </c>
      <c r="CX1" t="s">
        <v>2628</v>
      </c>
      <c r="CY1" t="s">
        <v>2629</v>
      </c>
      <c r="CZ1" t="s">
        <v>2630</v>
      </c>
      <c r="DA1" t="s">
        <v>2631</v>
      </c>
      <c r="DB1" t="s">
        <v>2632</v>
      </c>
      <c r="DC1" t="s">
        <v>2633</v>
      </c>
      <c r="DD1" t="s">
        <v>2634</v>
      </c>
      <c r="DE1" t="s">
        <v>2635</v>
      </c>
      <c r="DF1" t="s">
        <v>2636</v>
      </c>
      <c r="DG1" t="s">
        <v>2637</v>
      </c>
      <c r="DH1" t="s">
        <v>2638</v>
      </c>
      <c r="DI1" t="s">
        <v>2639</v>
      </c>
      <c r="DJ1" t="s">
        <v>2640</v>
      </c>
      <c r="DK1" t="s">
        <v>2641</v>
      </c>
      <c r="DL1" t="s">
        <v>2642</v>
      </c>
      <c r="DM1" t="s">
        <v>2643</v>
      </c>
      <c r="DN1" t="s">
        <v>2644</v>
      </c>
      <c r="DO1" t="s">
        <v>2645</v>
      </c>
      <c r="DP1" t="s">
        <v>2646</v>
      </c>
      <c r="DQ1" t="s">
        <v>2647</v>
      </c>
      <c r="DR1" t="s">
        <v>2648</v>
      </c>
      <c r="DS1" t="s">
        <v>2649</v>
      </c>
      <c r="DT1" t="s">
        <v>2650</v>
      </c>
      <c r="DU1" t="s">
        <v>2651</v>
      </c>
      <c r="DV1" t="s">
        <v>2652</v>
      </c>
      <c r="DW1" t="s">
        <v>2653</v>
      </c>
      <c r="DX1" t="s">
        <v>2654</v>
      </c>
      <c r="DY1" t="s">
        <v>2655</v>
      </c>
      <c r="DZ1" t="s">
        <v>2656</v>
      </c>
      <c r="EA1" t="s">
        <v>2657</v>
      </c>
      <c r="EB1" t="s">
        <v>2658</v>
      </c>
      <c r="EC1" t="s">
        <v>2659</v>
      </c>
      <c r="ED1" t="s">
        <v>2660</v>
      </c>
      <c r="EE1" t="s">
        <v>2661</v>
      </c>
      <c r="EF1" t="s">
        <v>2662</v>
      </c>
      <c r="EG1" t="s">
        <v>2663</v>
      </c>
      <c r="EH1" t="s">
        <v>2664</v>
      </c>
      <c r="EI1" t="s">
        <v>2665</v>
      </c>
      <c r="EJ1" t="s">
        <v>2666</v>
      </c>
      <c r="EK1" t="s">
        <v>2667</v>
      </c>
      <c r="EL1" t="s">
        <v>2668</v>
      </c>
      <c r="EM1" t="s">
        <v>2669</v>
      </c>
      <c r="EN1" t="s">
        <v>2670</v>
      </c>
      <c r="EO1" t="s">
        <v>2671</v>
      </c>
      <c r="EP1" t="s">
        <v>2672</v>
      </c>
      <c r="EQ1" t="s">
        <v>2673</v>
      </c>
      <c r="ER1" t="s">
        <v>2674</v>
      </c>
      <c r="ES1" t="s">
        <v>2675</v>
      </c>
      <c r="ET1" t="s">
        <v>2676</v>
      </c>
      <c r="EU1" t="s">
        <v>2677</v>
      </c>
      <c r="EV1" t="s">
        <v>2678</v>
      </c>
      <c r="EW1" t="s">
        <v>2679</v>
      </c>
      <c r="EX1" t="s">
        <v>2680</v>
      </c>
      <c r="EZ1" t="s">
        <v>132</v>
      </c>
      <c r="FA1" t="s">
        <v>2681</v>
      </c>
    </row>
    <row r="2" spans="1:157" x14ac:dyDescent="0.3">
      <c r="A2" t="s">
        <v>306</v>
      </c>
      <c r="B2" t="s">
        <v>311</v>
      </c>
      <c r="C2" t="s">
        <v>1665</v>
      </c>
      <c r="D2" t="s">
        <v>1673</v>
      </c>
      <c r="E2" t="s">
        <v>305</v>
      </c>
      <c r="F2" t="s">
        <v>310</v>
      </c>
      <c r="G2" t="s">
        <v>1689</v>
      </c>
      <c r="H2" t="s">
        <v>1697</v>
      </c>
      <c r="I2" t="s">
        <v>1705</v>
      </c>
      <c r="J2" t="s">
        <v>1713</v>
      </c>
      <c r="K2" t="s">
        <v>1721</v>
      </c>
      <c r="L2" t="s">
        <v>1729</v>
      </c>
      <c r="M2" t="s">
        <v>1737</v>
      </c>
      <c r="N2" t="s">
        <v>1745</v>
      </c>
      <c r="O2" t="s">
        <v>1753</v>
      </c>
      <c r="P2" t="s">
        <v>1761</v>
      </c>
      <c r="Q2" t="s">
        <v>1769</v>
      </c>
      <c r="R2" t="s">
        <v>1777</v>
      </c>
      <c r="S2" t="s">
        <v>1785</v>
      </c>
      <c r="T2" t="s">
        <v>326</v>
      </c>
      <c r="U2" t="s">
        <v>65</v>
      </c>
      <c r="V2" t="s">
        <v>1796</v>
      </c>
      <c r="W2" t="s">
        <v>318</v>
      </c>
      <c r="X2" t="s">
        <v>324</v>
      </c>
      <c r="Y2" t="s">
        <v>329</v>
      </c>
      <c r="Z2" t="s">
        <v>1806</v>
      </c>
      <c r="AA2" t="s">
        <v>1814</v>
      </c>
      <c r="AB2" t="s">
        <v>1822</v>
      </c>
      <c r="AC2" t="s">
        <v>1830</v>
      </c>
      <c r="AD2" t="s">
        <v>1835</v>
      </c>
      <c r="AE2" t="s">
        <v>1843</v>
      </c>
      <c r="AF2" t="s">
        <v>1851</v>
      </c>
      <c r="AG2" t="s">
        <v>1859</v>
      </c>
      <c r="AH2" t="s">
        <v>1867</v>
      </c>
      <c r="AI2" t="s">
        <v>1875</v>
      </c>
      <c r="AJ2" t="s">
        <v>1883</v>
      </c>
      <c r="AK2" t="s">
        <v>1891</v>
      </c>
      <c r="AL2" t="s">
        <v>1899</v>
      </c>
      <c r="AM2" t="s">
        <v>1907</v>
      </c>
      <c r="AN2" t="s">
        <v>1915</v>
      </c>
      <c r="AO2" t="s">
        <v>1922</v>
      </c>
      <c r="AP2" t="s">
        <v>1928</v>
      </c>
      <c r="AQ2" t="s">
        <v>1935</v>
      </c>
      <c r="AR2" t="s">
        <v>1942</v>
      </c>
      <c r="AS2" t="s">
        <v>330</v>
      </c>
      <c r="AT2" t="s">
        <v>336</v>
      </c>
      <c r="AU2" t="s">
        <v>342</v>
      </c>
      <c r="AV2" t="s">
        <v>1953</v>
      </c>
      <c r="AW2" t="s">
        <v>78</v>
      </c>
      <c r="AX2" t="s">
        <v>356</v>
      </c>
      <c r="AY2" t="s">
        <v>1958</v>
      </c>
      <c r="AZ2" t="s">
        <v>1966</v>
      </c>
      <c r="BA2" t="s">
        <v>1974</v>
      </c>
      <c r="BB2" t="s">
        <v>1978</v>
      </c>
      <c r="BC2" t="s">
        <v>1986</v>
      </c>
      <c r="BD2" t="s">
        <v>1994</v>
      </c>
      <c r="BE2" t="s">
        <v>2002</v>
      </c>
      <c r="BF2" t="s">
        <v>2010</v>
      </c>
      <c r="BG2" t="s">
        <v>2018</v>
      </c>
      <c r="BH2" t="s">
        <v>2026</v>
      </c>
      <c r="BI2" t="s">
        <v>2034</v>
      </c>
      <c r="BJ2" t="s">
        <v>2042</v>
      </c>
      <c r="BK2" t="s">
        <v>2050</v>
      </c>
      <c r="BL2" t="s">
        <v>2058</v>
      </c>
      <c r="BM2" t="s">
        <v>354</v>
      </c>
      <c r="BN2" t="s">
        <v>360</v>
      </c>
      <c r="BO2" t="s">
        <v>2066</v>
      </c>
      <c r="BP2" t="s">
        <v>2067</v>
      </c>
      <c r="BQ2" t="s">
        <v>351</v>
      </c>
      <c r="BR2" t="s">
        <v>79</v>
      </c>
      <c r="BS2" t="s">
        <v>2068</v>
      </c>
      <c r="BT2" t="s">
        <v>370</v>
      </c>
      <c r="BU2" t="s">
        <v>2076</v>
      </c>
      <c r="BV2" t="s">
        <v>2084</v>
      </c>
      <c r="BW2" t="s">
        <v>2092</v>
      </c>
      <c r="BX2" t="s">
        <v>2101</v>
      </c>
      <c r="BY2" t="s">
        <v>2109</v>
      </c>
      <c r="BZ2" t="s">
        <v>378</v>
      </c>
      <c r="CA2" t="s">
        <v>384</v>
      </c>
      <c r="CB2" t="s">
        <v>2113</v>
      </c>
      <c r="CC2" t="s">
        <v>2121</v>
      </c>
      <c r="CD2" t="s">
        <v>2129</v>
      </c>
      <c r="CE2" t="s">
        <v>2137</v>
      </c>
      <c r="CF2" t="s">
        <v>2145</v>
      </c>
      <c r="CG2" t="s">
        <v>2153</v>
      </c>
      <c r="CH2" t="s">
        <v>2161</v>
      </c>
      <c r="CI2" t="s">
        <v>2169</v>
      </c>
      <c r="CJ2" t="s">
        <v>2177</v>
      </c>
      <c r="CK2" t="s">
        <v>2185</v>
      </c>
      <c r="CL2" t="s">
        <v>381</v>
      </c>
      <c r="CM2" t="s">
        <v>387</v>
      </c>
      <c r="CN2" t="s">
        <v>394</v>
      </c>
      <c r="CO2" t="s">
        <v>401</v>
      </c>
      <c r="CP2" t="s">
        <v>377</v>
      </c>
      <c r="CQ2" t="s">
        <v>82</v>
      </c>
      <c r="CR2" t="s">
        <v>2198</v>
      </c>
      <c r="CS2" t="s">
        <v>2204</v>
      </c>
      <c r="CT2" t="s">
        <v>2210</v>
      </c>
      <c r="CU2" t="s">
        <v>2218</v>
      </c>
      <c r="CV2" t="s">
        <v>2227</v>
      </c>
      <c r="CW2" t="s">
        <v>2235</v>
      </c>
      <c r="CX2" t="s">
        <v>1416</v>
      </c>
      <c r="CY2" t="s">
        <v>410</v>
      </c>
      <c r="CZ2" t="s">
        <v>2243</v>
      </c>
      <c r="DA2" t="s">
        <v>2251</v>
      </c>
      <c r="DB2" t="s">
        <v>405</v>
      </c>
      <c r="DC2" t="s">
        <v>412</v>
      </c>
      <c r="DD2" t="s">
        <v>2261</v>
      </c>
      <c r="DE2" t="s">
        <v>2269</v>
      </c>
      <c r="DF2" t="s">
        <v>2277</v>
      </c>
      <c r="DG2" t="s">
        <v>2285</v>
      </c>
      <c r="DH2" t="s">
        <v>2293</v>
      </c>
      <c r="DI2" t="s">
        <v>2301</v>
      </c>
      <c r="DJ2" t="s">
        <v>2309</v>
      </c>
      <c r="DK2" t="s">
        <v>2317</v>
      </c>
      <c r="DL2" t="s">
        <v>2325</v>
      </c>
      <c r="DM2" t="s">
        <v>2333</v>
      </c>
      <c r="DN2" t="s">
        <v>408</v>
      </c>
      <c r="DO2" t="s">
        <v>415</v>
      </c>
      <c r="DP2" t="s">
        <v>2341</v>
      </c>
      <c r="DQ2" t="s">
        <v>428</v>
      </c>
      <c r="DR2" t="s">
        <v>404</v>
      </c>
      <c r="DS2" t="s">
        <v>411</v>
      </c>
      <c r="DT2" t="s">
        <v>2347</v>
      </c>
      <c r="DU2" t="s">
        <v>85</v>
      </c>
      <c r="DV2" t="s">
        <v>2354</v>
      </c>
      <c r="DW2" t="s">
        <v>2362</v>
      </c>
      <c r="DX2" t="s">
        <v>2373</v>
      </c>
      <c r="DY2" t="s">
        <v>2381</v>
      </c>
      <c r="DZ2" t="s">
        <v>2389</v>
      </c>
      <c r="EA2" t="s">
        <v>432</v>
      </c>
      <c r="EB2" t="s">
        <v>439</v>
      </c>
      <c r="EC2" t="s">
        <v>2393</v>
      </c>
      <c r="ED2" t="s">
        <v>2401</v>
      </c>
      <c r="EE2" t="s">
        <v>2409</v>
      </c>
      <c r="EF2" t="s">
        <v>2417</v>
      </c>
      <c r="EG2" t="s">
        <v>2425</v>
      </c>
      <c r="EH2" t="s">
        <v>2433</v>
      </c>
      <c r="EI2" t="s">
        <v>2441</v>
      </c>
      <c r="EJ2" t="s">
        <v>2449</v>
      </c>
      <c r="EK2" t="s">
        <v>2457</v>
      </c>
      <c r="EL2" t="s">
        <v>2465</v>
      </c>
      <c r="EM2" t="s">
        <v>435</v>
      </c>
      <c r="EN2" t="s">
        <v>442</v>
      </c>
      <c r="EO2" t="s">
        <v>2473</v>
      </c>
      <c r="EP2" t="s">
        <v>455</v>
      </c>
      <c r="EQ2" t="s">
        <v>431</v>
      </c>
      <c r="ER2" t="s">
        <v>438</v>
      </c>
      <c r="ES2" t="s">
        <v>2479</v>
      </c>
      <c r="ET2" t="s">
        <v>2486</v>
      </c>
      <c r="EU2" t="s">
        <v>2493</v>
      </c>
      <c r="EV2" t="s">
        <v>2503</v>
      </c>
      <c r="EW2" t="s">
        <v>2511</v>
      </c>
      <c r="EX2" t="s">
        <v>2519</v>
      </c>
      <c r="EZ2" t="s">
        <v>64</v>
      </c>
      <c r="FA2" t="s">
        <v>99</v>
      </c>
    </row>
    <row r="3" spans="1:157" x14ac:dyDescent="0.3">
      <c r="A3" t="s">
        <v>1656</v>
      </c>
      <c r="B3" t="s">
        <v>1659</v>
      </c>
      <c r="C3" t="s">
        <v>1666</v>
      </c>
      <c r="D3" t="s">
        <v>1674</v>
      </c>
      <c r="E3" t="s">
        <v>470</v>
      </c>
      <c r="F3" t="s">
        <v>1683</v>
      </c>
      <c r="G3" t="s">
        <v>1690</v>
      </c>
      <c r="H3" t="s">
        <v>1698</v>
      </c>
      <c r="I3" t="s">
        <v>1706</v>
      </c>
      <c r="J3" t="s">
        <v>1714</v>
      </c>
      <c r="K3" t="s">
        <v>1722</v>
      </c>
      <c r="L3" t="s">
        <v>1730</v>
      </c>
      <c r="M3" t="s">
        <v>1738</v>
      </c>
      <c r="N3" t="s">
        <v>1746</v>
      </c>
      <c r="O3" t="s">
        <v>1754</v>
      </c>
      <c r="P3" t="s">
        <v>1762</v>
      </c>
      <c r="Q3" t="s">
        <v>1770</v>
      </c>
      <c r="R3" t="s">
        <v>1778</v>
      </c>
      <c r="S3" t="s">
        <v>1786</v>
      </c>
      <c r="T3" t="s">
        <v>492</v>
      </c>
      <c r="U3" t="s">
        <v>472</v>
      </c>
      <c r="V3" t="s">
        <v>478</v>
      </c>
      <c r="W3" t="s">
        <v>484</v>
      </c>
      <c r="X3" t="s">
        <v>490</v>
      </c>
      <c r="Y3" t="s">
        <v>1803</v>
      </c>
      <c r="Z3" t="s">
        <v>1807</v>
      </c>
      <c r="AA3" t="s">
        <v>1815</v>
      </c>
      <c r="AB3" t="s">
        <v>1823</v>
      </c>
      <c r="AC3" t="s">
        <v>494</v>
      </c>
      <c r="AD3" t="s">
        <v>1836</v>
      </c>
      <c r="AE3" t="s">
        <v>1844</v>
      </c>
      <c r="AF3" t="s">
        <v>1852</v>
      </c>
      <c r="AG3" t="s">
        <v>1860</v>
      </c>
      <c r="AH3" t="s">
        <v>1868</v>
      </c>
      <c r="AI3" t="s">
        <v>1876</v>
      </c>
      <c r="AJ3" t="s">
        <v>1884</v>
      </c>
      <c r="AK3" t="s">
        <v>1892</v>
      </c>
      <c r="AL3" t="s">
        <v>1900</v>
      </c>
      <c r="AM3" t="s">
        <v>1908</v>
      </c>
      <c r="AN3" t="s">
        <v>1916</v>
      </c>
      <c r="AO3" t="s">
        <v>1923</v>
      </c>
      <c r="AP3" t="s">
        <v>1929</v>
      </c>
      <c r="AQ3" t="s">
        <v>1936</v>
      </c>
      <c r="AR3" t="s">
        <v>1943</v>
      </c>
      <c r="AS3" t="s">
        <v>496</v>
      </c>
      <c r="AT3" t="s">
        <v>502</v>
      </c>
      <c r="AU3" t="s">
        <v>1949</v>
      </c>
      <c r="AV3" t="s">
        <v>514</v>
      </c>
      <c r="AW3" t="s">
        <v>518</v>
      </c>
      <c r="AX3" t="s">
        <v>525</v>
      </c>
      <c r="AY3" t="s">
        <v>1959</v>
      </c>
      <c r="AZ3" t="s">
        <v>1967</v>
      </c>
      <c r="BA3" t="s">
        <v>1975</v>
      </c>
      <c r="BB3" t="s">
        <v>1979</v>
      </c>
      <c r="BC3" t="s">
        <v>1987</v>
      </c>
      <c r="BD3" t="s">
        <v>1995</v>
      </c>
      <c r="BE3" t="s">
        <v>2003</v>
      </c>
      <c r="BF3" t="s">
        <v>2011</v>
      </c>
      <c r="BG3" t="s">
        <v>2019</v>
      </c>
      <c r="BH3" t="s">
        <v>2027</v>
      </c>
      <c r="BI3" t="s">
        <v>2035</v>
      </c>
      <c r="BJ3" t="s">
        <v>2043</v>
      </c>
      <c r="BK3" t="s">
        <v>2051</v>
      </c>
      <c r="BL3" t="s">
        <v>2059</v>
      </c>
      <c r="BM3" t="s">
        <v>523</v>
      </c>
      <c r="BN3" t="s">
        <v>530</v>
      </c>
      <c r="BO3" t="s">
        <v>537</v>
      </c>
      <c r="BP3" t="s">
        <v>544</v>
      </c>
      <c r="BQ3" t="s">
        <v>519</v>
      </c>
      <c r="BR3" t="s">
        <v>526</v>
      </c>
      <c r="BS3" t="s">
        <v>2069</v>
      </c>
      <c r="BT3" t="s">
        <v>540</v>
      </c>
      <c r="BU3" t="s">
        <v>2077</v>
      </c>
      <c r="BV3" t="s">
        <v>2085</v>
      </c>
      <c r="BW3" t="s">
        <v>2093</v>
      </c>
      <c r="BX3" t="s">
        <v>2102</v>
      </c>
      <c r="BZ3" t="s">
        <v>548</v>
      </c>
      <c r="CA3" t="s">
        <v>555</v>
      </c>
      <c r="CB3" t="s">
        <v>2114</v>
      </c>
      <c r="CC3" t="s">
        <v>2122</v>
      </c>
      <c r="CD3" t="s">
        <v>2130</v>
      </c>
      <c r="CE3" t="s">
        <v>2138</v>
      </c>
      <c r="CF3" t="s">
        <v>2146</v>
      </c>
      <c r="CG3" t="s">
        <v>2154</v>
      </c>
      <c r="CH3" t="s">
        <v>2162</v>
      </c>
      <c r="CI3" t="s">
        <v>2170</v>
      </c>
      <c r="CJ3" t="s">
        <v>2178</v>
      </c>
      <c r="CK3" t="s">
        <v>2186</v>
      </c>
      <c r="CL3" t="s">
        <v>551</v>
      </c>
      <c r="CM3" t="s">
        <v>2193</v>
      </c>
      <c r="CN3" t="s">
        <v>565</v>
      </c>
      <c r="CO3" t="s">
        <v>572</v>
      </c>
      <c r="CP3" t="s">
        <v>547</v>
      </c>
      <c r="CQ3" t="s">
        <v>554</v>
      </c>
      <c r="CR3" t="s">
        <v>2199</v>
      </c>
      <c r="CS3" t="s">
        <v>2205</v>
      </c>
      <c r="CT3" t="s">
        <v>2211</v>
      </c>
      <c r="CU3" t="s">
        <v>2219</v>
      </c>
      <c r="CV3" t="s">
        <v>2228</v>
      </c>
      <c r="CW3" t="s">
        <v>2236</v>
      </c>
      <c r="CX3" t="s">
        <v>1586</v>
      </c>
      <c r="CY3" t="s">
        <v>581</v>
      </c>
      <c r="CZ3" t="s">
        <v>2244</v>
      </c>
      <c r="DA3" t="s">
        <v>2252</v>
      </c>
      <c r="DB3" t="s">
        <v>576</v>
      </c>
      <c r="DC3" t="s">
        <v>583</v>
      </c>
      <c r="DD3" t="s">
        <v>2262</v>
      </c>
      <c r="DE3" t="s">
        <v>2270</v>
      </c>
      <c r="DF3" t="s">
        <v>2278</v>
      </c>
      <c r="DG3" t="s">
        <v>2286</v>
      </c>
      <c r="DH3" t="s">
        <v>2294</v>
      </c>
      <c r="DI3" t="s">
        <v>2302</v>
      </c>
      <c r="DJ3" t="s">
        <v>2310</v>
      </c>
      <c r="DK3" t="s">
        <v>2318</v>
      </c>
      <c r="DL3" t="s">
        <v>2326</v>
      </c>
      <c r="DM3" t="s">
        <v>2334</v>
      </c>
      <c r="DN3" t="s">
        <v>579</v>
      </c>
      <c r="DO3" t="s">
        <v>586</v>
      </c>
      <c r="DP3" t="s">
        <v>2342</v>
      </c>
      <c r="DQ3" t="s">
        <v>600</v>
      </c>
      <c r="DR3" t="s">
        <v>575</v>
      </c>
      <c r="DS3" t="s">
        <v>582</v>
      </c>
      <c r="DT3" t="s">
        <v>2348</v>
      </c>
      <c r="DU3" t="s">
        <v>2351</v>
      </c>
      <c r="DV3" t="s">
        <v>2355</v>
      </c>
      <c r="DW3" t="s">
        <v>2363</v>
      </c>
      <c r="DX3" t="s">
        <v>2374</v>
      </c>
      <c r="DY3" t="s">
        <v>2382</v>
      </c>
      <c r="DZ3" t="s">
        <v>2390</v>
      </c>
      <c r="EA3" t="s">
        <v>604</v>
      </c>
      <c r="EB3" t="s">
        <v>611</v>
      </c>
      <c r="EC3" t="s">
        <v>2394</v>
      </c>
      <c r="ED3" t="s">
        <v>2402</v>
      </c>
      <c r="EE3" t="s">
        <v>2410</v>
      </c>
      <c r="EF3" t="s">
        <v>2418</v>
      </c>
      <c r="EG3" t="s">
        <v>2426</v>
      </c>
      <c r="EH3" t="s">
        <v>2434</v>
      </c>
      <c r="EI3" t="s">
        <v>2442</v>
      </c>
      <c r="EJ3" t="s">
        <v>2450</v>
      </c>
      <c r="EK3" t="s">
        <v>2458</v>
      </c>
      <c r="EL3" t="s">
        <v>2466</v>
      </c>
      <c r="EM3" t="s">
        <v>607</v>
      </c>
      <c r="EN3" t="s">
        <v>614</v>
      </c>
      <c r="EO3" t="s">
        <v>2474</v>
      </c>
      <c r="EP3" t="s">
        <v>628</v>
      </c>
      <c r="EQ3" t="s">
        <v>603</v>
      </c>
      <c r="ER3" t="s">
        <v>610</v>
      </c>
      <c r="ES3" t="s">
        <v>2480</v>
      </c>
      <c r="ET3" t="s">
        <v>624</v>
      </c>
      <c r="EU3" t="s">
        <v>2494</v>
      </c>
      <c r="EV3" t="s">
        <v>2504</v>
      </c>
      <c r="EW3" t="s">
        <v>2512</v>
      </c>
      <c r="EX3" t="s">
        <v>2520</v>
      </c>
      <c r="EZ3" t="s">
        <v>73</v>
      </c>
      <c r="FA3" t="s">
        <v>60</v>
      </c>
    </row>
    <row r="4" spans="1:157" x14ac:dyDescent="0.3">
      <c r="A4" t="s">
        <v>644</v>
      </c>
      <c r="B4" t="s">
        <v>650</v>
      </c>
      <c r="C4" t="s">
        <v>1667</v>
      </c>
      <c r="D4" t="s">
        <v>1675</v>
      </c>
      <c r="E4" t="s">
        <v>643</v>
      </c>
      <c r="F4" t="s">
        <v>1684</v>
      </c>
      <c r="G4" t="s">
        <v>1691</v>
      </c>
      <c r="H4" t="s">
        <v>1699</v>
      </c>
      <c r="I4" t="s">
        <v>1707</v>
      </c>
      <c r="J4" t="s">
        <v>1715</v>
      </c>
      <c r="K4" t="s">
        <v>1723</v>
      </c>
      <c r="L4" t="s">
        <v>1731</v>
      </c>
      <c r="M4" t="s">
        <v>1739</v>
      </c>
      <c r="N4" t="s">
        <v>1747</v>
      </c>
      <c r="O4" t="s">
        <v>1755</v>
      </c>
      <c r="P4" t="s">
        <v>1763</v>
      </c>
      <c r="Q4" t="s">
        <v>1771</v>
      </c>
      <c r="R4" t="s">
        <v>1779</v>
      </c>
      <c r="S4" t="s">
        <v>659</v>
      </c>
      <c r="T4" t="s">
        <v>665</v>
      </c>
      <c r="U4" t="s">
        <v>645</v>
      </c>
      <c r="V4" t="s">
        <v>651</v>
      </c>
      <c r="W4" t="s">
        <v>1797</v>
      </c>
      <c r="X4" t="s">
        <v>663</v>
      </c>
      <c r="Y4" t="s">
        <v>668</v>
      </c>
      <c r="Z4" t="s">
        <v>1808</v>
      </c>
      <c r="AA4" t="s">
        <v>1816</v>
      </c>
      <c r="AB4" t="s">
        <v>1824</v>
      </c>
      <c r="AC4" t="s">
        <v>1831</v>
      </c>
      <c r="AD4" t="s">
        <v>1837</v>
      </c>
      <c r="AE4" t="s">
        <v>1845</v>
      </c>
      <c r="AF4" t="s">
        <v>1853</v>
      </c>
      <c r="AG4" t="s">
        <v>1861</v>
      </c>
      <c r="AH4" t="s">
        <v>1869</v>
      </c>
      <c r="AI4" t="s">
        <v>1877</v>
      </c>
      <c r="AJ4" t="s">
        <v>1885</v>
      </c>
      <c r="AK4" t="s">
        <v>1893</v>
      </c>
      <c r="AL4" t="s">
        <v>1901</v>
      </c>
      <c r="AM4" t="s">
        <v>1909</v>
      </c>
      <c r="AN4" t="s">
        <v>1917</v>
      </c>
      <c r="AO4" t="s">
        <v>1924</v>
      </c>
      <c r="AP4" t="s">
        <v>1930</v>
      </c>
      <c r="AQ4" t="s">
        <v>1937</v>
      </c>
      <c r="AR4" t="s">
        <v>689</v>
      </c>
      <c r="AS4" t="s">
        <v>669</v>
      </c>
      <c r="AT4" t="s">
        <v>675</v>
      </c>
      <c r="AU4" t="s">
        <v>681</v>
      </c>
      <c r="AV4" t="s">
        <v>1954</v>
      </c>
      <c r="AW4" t="s">
        <v>691</v>
      </c>
      <c r="AX4" t="s">
        <v>698</v>
      </c>
      <c r="AY4" t="s">
        <v>1960</v>
      </c>
      <c r="AZ4" t="s">
        <v>1968</v>
      </c>
      <c r="BA4" t="s">
        <v>693</v>
      </c>
      <c r="BB4" t="s">
        <v>1980</v>
      </c>
      <c r="BC4" t="s">
        <v>1988</v>
      </c>
      <c r="BD4" t="s">
        <v>1996</v>
      </c>
      <c r="BE4" t="s">
        <v>2004</v>
      </c>
      <c r="BF4" t="s">
        <v>2012</v>
      </c>
      <c r="BG4" t="s">
        <v>2020</v>
      </c>
      <c r="BH4" t="s">
        <v>2028</v>
      </c>
      <c r="BI4" t="s">
        <v>2036</v>
      </c>
      <c r="BJ4" t="s">
        <v>2044</v>
      </c>
      <c r="BK4" t="s">
        <v>2052</v>
      </c>
      <c r="BL4" t="s">
        <v>2060</v>
      </c>
      <c r="BM4" t="s">
        <v>696</v>
      </c>
      <c r="BN4" t="s">
        <v>703</v>
      </c>
      <c r="BO4" t="s">
        <v>710</v>
      </c>
      <c r="BP4" t="s">
        <v>717</v>
      </c>
      <c r="BQ4" t="s">
        <v>692</v>
      </c>
      <c r="BR4" t="s">
        <v>699</v>
      </c>
      <c r="BS4" t="s">
        <v>706</v>
      </c>
      <c r="BT4" t="s">
        <v>2072</v>
      </c>
      <c r="BU4" t="s">
        <v>2078</v>
      </c>
      <c r="BV4" t="s">
        <v>2086</v>
      </c>
      <c r="BW4" t="s">
        <v>2094</v>
      </c>
      <c r="BX4" t="s">
        <v>2103</v>
      </c>
      <c r="BZ4" t="s">
        <v>720</v>
      </c>
      <c r="CA4" t="s">
        <v>2110</v>
      </c>
      <c r="CB4" t="s">
        <v>2115</v>
      </c>
      <c r="CC4" t="s">
        <v>2123</v>
      </c>
      <c r="CD4" t="s">
        <v>2131</v>
      </c>
      <c r="CE4" t="s">
        <v>2139</v>
      </c>
      <c r="CF4" t="s">
        <v>2147</v>
      </c>
      <c r="CG4" t="s">
        <v>2155</v>
      </c>
      <c r="CH4" t="s">
        <v>2163</v>
      </c>
      <c r="CI4" t="s">
        <v>2171</v>
      </c>
      <c r="CJ4" t="s">
        <v>2179</v>
      </c>
      <c r="CK4" t="s">
        <v>2187</v>
      </c>
      <c r="CL4" t="s">
        <v>723</v>
      </c>
      <c r="CM4" t="s">
        <v>730</v>
      </c>
      <c r="CN4" t="s">
        <v>737</v>
      </c>
      <c r="CO4" t="s">
        <v>717</v>
      </c>
      <c r="CP4" t="s">
        <v>719</v>
      </c>
      <c r="CQ4" t="s">
        <v>726</v>
      </c>
      <c r="CR4" t="s">
        <v>733</v>
      </c>
      <c r="CS4" t="s">
        <v>2206</v>
      </c>
      <c r="CT4" t="s">
        <v>2212</v>
      </c>
      <c r="CU4" t="s">
        <v>2220</v>
      </c>
      <c r="CV4" t="s">
        <v>2229</v>
      </c>
      <c r="CW4" t="s">
        <v>2237</v>
      </c>
      <c r="CY4" t="s">
        <v>752</v>
      </c>
      <c r="CZ4" t="s">
        <v>2245</v>
      </c>
      <c r="DA4" t="s">
        <v>2253</v>
      </c>
      <c r="DB4" t="s">
        <v>747</v>
      </c>
      <c r="DC4" t="s">
        <v>754</v>
      </c>
      <c r="DD4" t="s">
        <v>2263</v>
      </c>
      <c r="DE4" t="s">
        <v>2271</v>
      </c>
      <c r="DF4" t="s">
        <v>2279</v>
      </c>
      <c r="DG4" t="s">
        <v>2287</v>
      </c>
      <c r="DH4" t="s">
        <v>2295</v>
      </c>
      <c r="DI4" t="s">
        <v>2303</v>
      </c>
      <c r="DJ4" t="s">
        <v>2311</v>
      </c>
      <c r="DK4" t="s">
        <v>2319</v>
      </c>
      <c r="DL4" t="s">
        <v>2327</v>
      </c>
      <c r="DM4" t="s">
        <v>2335</v>
      </c>
      <c r="DN4" t="s">
        <v>750</v>
      </c>
      <c r="DO4" t="s">
        <v>757</v>
      </c>
      <c r="DP4" t="s">
        <v>2342</v>
      </c>
      <c r="DQ4" t="s">
        <v>769</v>
      </c>
      <c r="DR4" t="s">
        <v>746</v>
      </c>
      <c r="DS4" t="s">
        <v>753</v>
      </c>
      <c r="DT4" t="s">
        <v>760</v>
      </c>
      <c r="DU4" t="s">
        <v>2352</v>
      </c>
      <c r="DV4" t="s">
        <v>2356</v>
      </c>
      <c r="DW4" t="s">
        <v>2364</v>
      </c>
      <c r="DX4" t="s">
        <v>2375</v>
      </c>
      <c r="DY4" t="s">
        <v>2383</v>
      </c>
      <c r="EA4" t="s">
        <v>773</v>
      </c>
      <c r="EB4" t="s">
        <v>780</v>
      </c>
      <c r="EC4" t="s">
        <v>2395</v>
      </c>
      <c r="ED4" t="s">
        <v>2403</v>
      </c>
      <c r="EE4" t="s">
        <v>2411</v>
      </c>
      <c r="EF4" t="s">
        <v>2419</v>
      </c>
      <c r="EG4" t="s">
        <v>2427</v>
      </c>
      <c r="EH4" t="s">
        <v>2435</v>
      </c>
      <c r="EI4" t="s">
        <v>2443</v>
      </c>
      <c r="EJ4" t="s">
        <v>2451</v>
      </c>
      <c r="EK4" t="s">
        <v>2459</v>
      </c>
      <c r="EL4" t="s">
        <v>2467</v>
      </c>
      <c r="EM4" t="s">
        <v>776</v>
      </c>
      <c r="EN4" t="s">
        <v>783</v>
      </c>
      <c r="EO4" t="s">
        <v>2475</v>
      </c>
      <c r="EP4" t="s">
        <v>797</v>
      </c>
      <c r="EQ4" t="s">
        <v>772</v>
      </c>
      <c r="ER4" t="s">
        <v>779</v>
      </c>
      <c r="ES4" t="s">
        <v>2481</v>
      </c>
      <c r="ET4" t="s">
        <v>2487</v>
      </c>
      <c r="EU4" t="s">
        <v>2495</v>
      </c>
      <c r="EV4" t="s">
        <v>2505</v>
      </c>
      <c r="EW4" t="s">
        <v>2513</v>
      </c>
      <c r="EX4" t="s">
        <v>2521</v>
      </c>
      <c r="EZ4" t="s">
        <v>61</v>
      </c>
      <c r="FA4" t="s">
        <v>469</v>
      </c>
    </row>
    <row r="5" spans="1:157" x14ac:dyDescent="0.3">
      <c r="A5" t="s">
        <v>1657</v>
      </c>
      <c r="B5" t="s">
        <v>1660</v>
      </c>
      <c r="C5" t="s">
        <v>1668</v>
      </c>
      <c r="D5" t="s">
        <v>1676</v>
      </c>
      <c r="E5" t="s">
        <v>811</v>
      </c>
      <c r="F5" t="s">
        <v>1685</v>
      </c>
      <c r="G5" t="s">
        <v>1692</v>
      </c>
      <c r="H5" t="s">
        <v>1700</v>
      </c>
      <c r="I5" t="s">
        <v>1708</v>
      </c>
      <c r="J5" t="s">
        <v>1716</v>
      </c>
      <c r="K5" t="s">
        <v>1724</v>
      </c>
      <c r="L5" t="s">
        <v>1732</v>
      </c>
      <c r="M5" t="s">
        <v>1740</v>
      </c>
      <c r="N5" t="s">
        <v>1748</v>
      </c>
      <c r="O5" t="s">
        <v>1756</v>
      </c>
      <c r="P5" t="s">
        <v>1764</v>
      </c>
      <c r="Q5" t="s">
        <v>1772</v>
      </c>
      <c r="R5" t="s">
        <v>1780</v>
      </c>
      <c r="S5" t="s">
        <v>1787</v>
      </c>
      <c r="T5" t="s">
        <v>68</v>
      </c>
      <c r="U5" t="s">
        <v>812</v>
      </c>
      <c r="V5" t="s">
        <v>818</v>
      </c>
      <c r="W5" t="s">
        <v>824</v>
      </c>
      <c r="X5" t="s">
        <v>1801</v>
      </c>
      <c r="Y5" t="s">
        <v>1804</v>
      </c>
      <c r="Z5" t="s">
        <v>1809</v>
      </c>
      <c r="AA5" t="s">
        <v>1817</v>
      </c>
      <c r="AB5" t="s">
        <v>1825</v>
      </c>
      <c r="AC5" t="s">
        <v>831</v>
      </c>
      <c r="AD5" t="s">
        <v>1838</v>
      </c>
      <c r="AE5" t="s">
        <v>1846</v>
      </c>
      <c r="AF5" t="s">
        <v>1854</v>
      </c>
      <c r="AG5" t="s">
        <v>1862</v>
      </c>
      <c r="AH5" t="s">
        <v>1870</v>
      </c>
      <c r="AI5" t="s">
        <v>1878</v>
      </c>
      <c r="AJ5" t="s">
        <v>1886</v>
      </c>
      <c r="AK5" t="s">
        <v>1894</v>
      </c>
      <c r="AL5" t="s">
        <v>1902</v>
      </c>
      <c r="AM5" t="s">
        <v>1910</v>
      </c>
      <c r="AN5" t="s">
        <v>1918</v>
      </c>
      <c r="AO5" t="s">
        <v>1925</v>
      </c>
      <c r="AP5" t="s">
        <v>1931</v>
      </c>
      <c r="AQ5" t="s">
        <v>1938</v>
      </c>
      <c r="AR5" t="s">
        <v>1944</v>
      </c>
      <c r="AS5" t="s">
        <v>833</v>
      </c>
      <c r="AT5" t="s">
        <v>839</v>
      </c>
      <c r="AU5" t="s">
        <v>843</v>
      </c>
      <c r="AV5" t="s">
        <v>848</v>
      </c>
      <c r="AW5" t="s">
        <v>852</v>
      </c>
      <c r="AX5" t="s">
        <v>859</v>
      </c>
      <c r="AY5" t="s">
        <v>1961</v>
      </c>
      <c r="AZ5" t="s">
        <v>1969</v>
      </c>
      <c r="BA5" t="s">
        <v>1976</v>
      </c>
      <c r="BB5" t="s">
        <v>1981</v>
      </c>
      <c r="BC5" t="s">
        <v>1989</v>
      </c>
      <c r="BD5" t="s">
        <v>1997</v>
      </c>
      <c r="BE5" t="s">
        <v>2005</v>
      </c>
      <c r="BF5" t="s">
        <v>2013</v>
      </c>
      <c r="BG5" t="s">
        <v>2021</v>
      </c>
      <c r="BH5" t="s">
        <v>2029</v>
      </c>
      <c r="BI5" t="s">
        <v>2037</v>
      </c>
      <c r="BJ5" t="s">
        <v>2045</v>
      </c>
      <c r="BK5" t="s">
        <v>2053</v>
      </c>
      <c r="BL5" t="s">
        <v>2061</v>
      </c>
      <c r="BM5" t="s">
        <v>857</v>
      </c>
      <c r="BN5" t="s">
        <v>864</v>
      </c>
      <c r="BO5" t="s">
        <v>871</v>
      </c>
      <c r="BP5" t="s">
        <v>878</v>
      </c>
      <c r="BQ5" t="s">
        <v>853</v>
      </c>
      <c r="BR5" t="s">
        <v>860</v>
      </c>
      <c r="BS5" t="s">
        <v>867</v>
      </c>
      <c r="BT5" t="s">
        <v>2073</v>
      </c>
      <c r="BU5" t="s">
        <v>2079</v>
      </c>
      <c r="BV5" t="s">
        <v>2087</v>
      </c>
      <c r="BW5" t="s">
        <v>2095</v>
      </c>
      <c r="BX5" t="s">
        <v>2104</v>
      </c>
      <c r="BZ5" t="s">
        <v>882</v>
      </c>
      <c r="CA5" t="s">
        <v>889</v>
      </c>
      <c r="CB5" t="s">
        <v>2116</v>
      </c>
      <c r="CC5" t="s">
        <v>2124</v>
      </c>
      <c r="CD5" t="s">
        <v>2132</v>
      </c>
      <c r="CE5" t="s">
        <v>2140</v>
      </c>
      <c r="CF5" t="s">
        <v>2148</v>
      </c>
      <c r="CG5" t="s">
        <v>2156</v>
      </c>
      <c r="CH5" t="s">
        <v>2164</v>
      </c>
      <c r="CI5" t="s">
        <v>2172</v>
      </c>
      <c r="CJ5" t="s">
        <v>2180</v>
      </c>
      <c r="CK5" t="s">
        <v>2188</v>
      </c>
      <c r="CL5" t="s">
        <v>885</v>
      </c>
      <c r="CM5" t="s">
        <v>892</v>
      </c>
      <c r="CN5" t="s">
        <v>899</v>
      </c>
      <c r="CO5" t="s">
        <v>906</v>
      </c>
      <c r="CP5" t="s">
        <v>881</v>
      </c>
      <c r="CQ5" t="s">
        <v>888</v>
      </c>
      <c r="CR5" t="s">
        <v>2200</v>
      </c>
      <c r="CS5" t="s">
        <v>902</v>
      </c>
      <c r="CT5" t="s">
        <v>2213</v>
      </c>
      <c r="CU5" t="s">
        <v>2221</v>
      </c>
      <c r="CV5" t="s">
        <v>2230</v>
      </c>
      <c r="CW5" t="s">
        <v>2238</v>
      </c>
      <c r="CY5" t="s">
        <v>914</v>
      </c>
      <c r="CZ5" t="s">
        <v>2246</v>
      </c>
      <c r="DA5" t="s">
        <v>2254</v>
      </c>
      <c r="DB5" t="s">
        <v>909</v>
      </c>
      <c r="DC5" t="s">
        <v>916</v>
      </c>
      <c r="DD5" t="s">
        <v>2264</v>
      </c>
      <c r="DE5" t="s">
        <v>2272</v>
      </c>
      <c r="DF5" t="s">
        <v>2280</v>
      </c>
      <c r="DG5" t="s">
        <v>2288</v>
      </c>
      <c r="DH5" t="s">
        <v>2296</v>
      </c>
      <c r="DI5" t="s">
        <v>2304</v>
      </c>
      <c r="DJ5" t="s">
        <v>2312</v>
      </c>
      <c r="DK5" t="s">
        <v>2320</v>
      </c>
      <c r="DL5" t="s">
        <v>2328</v>
      </c>
      <c r="DM5" t="s">
        <v>2336</v>
      </c>
      <c r="DN5" t="s">
        <v>912</v>
      </c>
      <c r="DO5" t="s">
        <v>919</v>
      </c>
      <c r="DP5" t="s">
        <v>2343</v>
      </c>
      <c r="DQ5" t="s">
        <v>933</v>
      </c>
      <c r="DR5" t="s">
        <v>908</v>
      </c>
      <c r="DS5" t="s">
        <v>915</v>
      </c>
      <c r="DT5" t="s">
        <v>2349</v>
      </c>
      <c r="DU5" t="s">
        <v>929</v>
      </c>
      <c r="DV5" t="s">
        <v>2357</v>
      </c>
      <c r="DW5" t="s">
        <v>2365</v>
      </c>
      <c r="DX5" t="s">
        <v>2376</v>
      </c>
      <c r="DY5" t="s">
        <v>2384</v>
      </c>
      <c r="EA5" t="s">
        <v>937</v>
      </c>
      <c r="EB5" t="s">
        <v>944</v>
      </c>
      <c r="EC5" t="s">
        <v>2396</v>
      </c>
      <c r="ED5" t="s">
        <v>2404</v>
      </c>
      <c r="EE5" t="s">
        <v>2412</v>
      </c>
      <c r="EF5" t="s">
        <v>2420</v>
      </c>
      <c r="EG5" t="s">
        <v>2428</v>
      </c>
      <c r="EH5" t="s">
        <v>2436</v>
      </c>
      <c r="EI5" t="s">
        <v>2444</v>
      </c>
      <c r="EJ5" t="s">
        <v>2452</v>
      </c>
      <c r="EK5" t="s">
        <v>2460</v>
      </c>
      <c r="EL5" t="s">
        <v>2468</v>
      </c>
      <c r="EM5" t="s">
        <v>940</v>
      </c>
      <c r="EN5" t="s">
        <v>947</v>
      </c>
      <c r="EO5" t="s">
        <v>2476</v>
      </c>
      <c r="EP5" t="s">
        <v>958</v>
      </c>
      <c r="EQ5" t="s">
        <v>936</v>
      </c>
      <c r="ER5" t="s">
        <v>943</v>
      </c>
      <c r="ES5" t="s">
        <v>2482</v>
      </c>
      <c r="ET5" t="s">
        <v>2488</v>
      </c>
      <c r="EU5" t="s">
        <v>2496</v>
      </c>
      <c r="EV5" t="s">
        <v>2506</v>
      </c>
      <c r="EW5" t="s">
        <v>2514</v>
      </c>
      <c r="EX5" t="s">
        <v>2522</v>
      </c>
      <c r="EZ5" t="s">
        <v>67</v>
      </c>
      <c r="FA5" t="s">
        <v>642</v>
      </c>
    </row>
    <row r="6" spans="1:157" x14ac:dyDescent="0.3">
      <c r="A6" t="s">
        <v>973</v>
      </c>
      <c r="B6" t="s">
        <v>1661</v>
      </c>
      <c r="C6" t="s">
        <v>1669</v>
      </c>
      <c r="D6" t="s">
        <v>1677</v>
      </c>
      <c r="E6" t="s">
        <v>972</v>
      </c>
      <c r="F6" t="s">
        <v>1686</v>
      </c>
      <c r="G6" t="s">
        <v>1693</v>
      </c>
      <c r="H6" t="s">
        <v>1701</v>
      </c>
      <c r="I6" t="s">
        <v>1709</v>
      </c>
      <c r="J6" t="s">
        <v>1717</v>
      </c>
      <c r="K6" t="s">
        <v>1725</v>
      </c>
      <c r="L6" t="s">
        <v>1733</v>
      </c>
      <c r="M6" t="s">
        <v>1741</v>
      </c>
      <c r="N6" t="s">
        <v>1749</v>
      </c>
      <c r="O6" t="s">
        <v>1757</v>
      </c>
      <c r="P6" t="s">
        <v>1765</v>
      </c>
      <c r="Q6" t="s">
        <v>1773</v>
      </c>
      <c r="R6" t="s">
        <v>1781</v>
      </c>
      <c r="S6" t="s">
        <v>1788</v>
      </c>
      <c r="T6" t="s">
        <v>1792</v>
      </c>
      <c r="U6" t="s">
        <v>974</v>
      </c>
      <c r="V6" t="s">
        <v>980</v>
      </c>
      <c r="W6" t="s">
        <v>1798</v>
      </c>
      <c r="X6" t="s">
        <v>992</v>
      </c>
      <c r="Y6" t="s">
        <v>997</v>
      </c>
      <c r="Z6" t="s">
        <v>1810</v>
      </c>
      <c r="AA6" t="s">
        <v>1818</v>
      </c>
      <c r="AB6" t="s">
        <v>1826</v>
      </c>
      <c r="AC6" t="s">
        <v>1832</v>
      </c>
      <c r="AD6" t="s">
        <v>1839</v>
      </c>
      <c r="AE6" t="s">
        <v>1847</v>
      </c>
      <c r="AF6" t="s">
        <v>1855</v>
      </c>
      <c r="AG6" t="s">
        <v>1863</v>
      </c>
      <c r="AH6" t="s">
        <v>1871</v>
      </c>
      <c r="AI6" t="s">
        <v>1879</v>
      </c>
      <c r="AJ6" t="s">
        <v>1887</v>
      </c>
      <c r="AK6" t="s">
        <v>1895</v>
      </c>
      <c r="AL6" t="s">
        <v>1903</v>
      </c>
      <c r="AM6" t="s">
        <v>1911</v>
      </c>
      <c r="AN6" t="s">
        <v>1919</v>
      </c>
      <c r="AO6" t="s">
        <v>1000</v>
      </c>
      <c r="AP6" t="s">
        <v>1006</v>
      </c>
      <c r="AQ6" t="s">
        <v>1012</v>
      </c>
      <c r="AR6" t="s">
        <v>1017</v>
      </c>
      <c r="AS6" t="s">
        <v>998</v>
      </c>
      <c r="AT6" t="s">
        <v>1004</v>
      </c>
      <c r="AU6" t="s">
        <v>1950</v>
      </c>
      <c r="AV6" t="s">
        <v>1955</v>
      </c>
      <c r="AW6" t="s">
        <v>1019</v>
      </c>
      <c r="AX6" t="s">
        <v>1026</v>
      </c>
      <c r="AY6" t="s">
        <v>1962</v>
      </c>
      <c r="AZ6" t="s">
        <v>1970</v>
      </c>
      <c r="BA6" t="s">
        <v>1021</v>
      </c>
      <c r="BB6" t="s">
        <v>1982</v>
      </c>
      <c r="BC6" t="s">
        <v>1990</v>
      </c>
      <c r="BD6" t="s">
        <v>1998</v>
      </c>
      <c r="BE6" t="s">
        <v>2006</v>
      </c>
      <c r="BF6" t="s">
        <v>2014</v>
      </c>
      <c r="BG6" t="s">
        <v>2022</v>
      </c>
      <c r="BH6" t="s">
        <v>2030</v>
      </c>
      <c r="BI6" t="s">
        <v>2038</v>
      </c>
      <c r="BJ6" t="s">
        <v>2046</v>
      </c>
      <c r="BK6" t="s">
        <v>2054</v>
      </c>
      <c r="BL6" t="s">
        <v>2062</v>
      </c>
      <c r="BM6" t="s">
        <v>1024</v>
      </c>
      <c r="BN6" t="s">
        <v>1031</v>
      </c>
      <c r="BO6" t="s">
        <v>1038</v>
      </c>
      <c r="BP6" t="s">
        <v>572</v>
      </c>
      <c r="BQ6" t="s">
        <v>1020</v>
      </c>
      <c r="BR6" t="s">
        <v>1027</v>
      </c>
      <c r="BS6" t="s">
        <v>1034</v>
      </c>
      <c r="BT6" t="s">
        <v>2074</v>
      </c>
      <c r="BU6" t="s">
        <v>2080</v>
      </c>
      <c r="BV6" t="s">
        <v>2088</v>
      </c>
      <c r="BW6" t="s">
        <v>2096</v>
      </c>
      <c r="BX6" t="s">
        <v>2105</v>
      </c>
      <c r="BZ6" t="s">
        <v>1048</v>
      </c>
      <c r="CA6" t="s">
        <v>2111</v>
      </c>
      <c r="CB6" t="s">
        <v>2117</v>
      </c>
      <c r="CC6" t="s">
        <v>2125</v>
      </c>
      <c r="CD6" t="s">
        <v>2133</v>
      </c>
      <c r="CE6" t="s">
        <v>2141</v>
      </c>
      <c r="CF6" t="s">
        <v>2149</v>
      </c>
      <c r="CG6" t="s">
        <v>2157</v>
      </c>
      <c r="CH6" t="s">
        <v>2165</v>
      </c>
      <c r="CI6" t="s">
        <v>2173</v>
      </c>
      <c r="CJ6" t="s">
        <v>2181</v>
      </c>
      <c r="CK6" t="s">
        <v>2189</v>
      </c>
      <c r="CL6" t="s">
        <v>1051</v>
      </c>
      <c r="CM6" t="s">
        <v>1058</v>
      </c>
      <c r="CN6" t="s">
        <v>1065</v>
      </c>
      <c r="CO6" t="s">
        <v>1072</v>
      </c>
      <c r="CP6" t="s">
        <v>1047</v>
      </c>
      <c r="CQ6" t="s">
        <v>1054</v>
      </c>
      <c r="CR6" t="s">
        <v>2201</v>
      </c>
      <c r="CS6" t="s">
        <v>2207</v>
      </c>
      <c r="CT6" t="s">
        <v>2214</v>
      </c>
      <c r="CU6" t="s">
        <v>2222</v>
      </c>
      <c r="CV6" t="s">
        <v>2231</v>
      </c>
      <c r="CW6" t="s">
        <v>2239</v>
      </c>
      <c r="CY6" t="s">
        <v>1081</v>
      </c>
      <c r="CZ6" t="s">
        <v>2247</v>
      </c>
      <c r="DA6" t="s">
        <v>2255</v>
      </c>
      <c r="DB6" t="s">
        <v>1076</v>
      </c>
      <c r="DC6" t="s">
        <v>1083</v>
      </c>
      <c r="DD6" t="s">
        <v>2265</v>
      </c>
      <c r="DE6" t="s">
        <v>2273</v>
      </c>
      <c r="DF6" t="s">
        <v>2281</v>
      </c>
      <c r="DG6" t="s">
        <v>2289</v>
      </c>
      <c r="DH6" t="s">
        <v>2297</v>
      </c>
      <c r="DI6" t="s">
        <v>2305</v>
      </c>
      <c r="DJ6" t="s">
        <v>2313</v>
      </c>
      <c r="DK6" t="s">
        <v>2321</v>
      </c>
      <c r="DL6" t="s">
        <v>2329</v>
      </c>
      <c r="DM6" t="s">
        <v>2337</v>
      </c>
      <c r="DN6" t="s">
        <v>1079</v>
      </c>
      <c r="DO6" t="s">
        <v>1086</v>
      </c>
      <c r="DP6" t="s">
        <v>1093</v>
      </c>
      <c r="DQ6" t="s">
        <v>1100</v>
      </c>
      <c r="DR6" t="s">
        <v>1075</v>
      </c>
      <c r="DS6" t="s">
        <v>1082</v>
      </c>
      <c r="DT6" t="s">
        <v>1089</v>
      </c>
      <c r="DU6" t="s">
        <v>1096</v>
      </c>
      <c r="DV6" t="s">
        <v>2358</v>
      </c>
      <c r="DW6" t="s">
        <v>2366</v>
      </c>
      <c r="DX6" t="s">
        <v>2377</v>
      </c>
      <c r="DY6" t="s">
        <v>2385</v>
      </c>
      <c r="EA6" t="s">
        <v>1104</v>
      </c>
      <c r="EB6" t="s">
        <v>1111</v>
      </c>
      <c r="EC6" t="s">
        <v>2397</v>
      </c>
      <c r="ED6" t="s">
        <v>2405</v>
      </c>
      <c r="EE6" t="s">
        <v>2413</v>
      </c>
      <c r="EF6" t="s">
        <v>2421</v>
      </c>
      <c r="EG6" t="s">
        <v>2429</v>
      </c>
      <c r="EH6" t="s">
        <v>2437</v>
      </c>
      <c r="EI6" t="s">
        <v>2445</v>
      </c>
      <c r="EJ6" t="s">
        <v>2453</v>
      </c>
      <c r="EK6" t="s">
        <v>2461</v>
      </c>
      <c r="EL6" t="s">
        <v>2469</v>
      </c>
      <c r="EM6" t="s">
        <v>1107</v>
      </c>
      <c r="EN6" t="s">
        <v>1114</v>
      </c>
      <c r="EO6" t="s">
        <v>2477</v>
      </c>
      <c r="EP6" t="s">
        <v>1128</v>
      </c>
      <c r="EQ6" t="s">
        <v>1103</v>
      </c>
      <c r="ER6" t="s">
        <v>1110</v>
      </c>
      <c r="ES6" t="s">
        <v>2483</v>
      </c>
      <c r="ET6" t="s">
        <v>2489</v>
      </c>
      <c r="EU6" t="s">
        <v>2497</v>
      </c>
      <c r="EV6" t="s">
        <v>2507</v>
      </c>
      <c r="EW6" t="s">
        <v>2515</v>
      </c>
      <c r="EX6" t="s">
        <v>2523</v>
      </c>
      <c r="EZ6" t="s">
        <v>2682</v>
      </c>
      <c r="FA6" t="s">
        <v>810</v>
      </c>
    </row>
    <row r="7" spans="1:157" x14ac:dyDescent="0.3">
      <c r="A7" t="s">
        <v>1658</v>
      </c>
      <c r="B7" t="s">
        <v>1662</v>
      </c>
      <c r="C7" t="s">
        <v>1670</v>
      </c>
      <c r="D7" t="s">
        <v>1678</v>
      </c>
      <c r="E7" t="s">
        <v>1681</v>
      </c>
      <c r="F7" t="s">
        <v>1687</v>
      </c>
      <c r="G7" t="s">
        <v>1694</v>
      </c>
      <c r="H7" t="s">
        <v>1702</v>
      </c>
      <c r="I7" t="s">
        <v>1710</v>
      </c>
      <c r="J7" t="s">
        <v>1718</v>
      </c>
      <c r="K7" t="s">
        <v>1726</v>
      </c>
      <c r="L7" t="s">
        <v>1734</v>
      </c>
      <c r="M7" t="s">
        <v>1742</v>
      </c>
      <c r="N7" t="s">
        <v>1750</v>
      </c>
      <c r="O7" t="s">
        <v>1758</v>
      </c>
      <c r="P7" t="s">
        <v>1766</v>
      </c>
      <c r="Q7" t="s">
        <v>1774</v>
      </c>
      <c r="R7" t="s">
        <v>1782</v>
      </c>
      <c r="S7" t="s">
        <v>1789</v>
      </c>
      <c r="T7" t="s">
        <v>1793</v>
      </c>
      <c r="U7" t="s">
        <v>1143</v>
      </c>
      <c r="V7" t="s">
        <v>1149</v>
      </c>
      <c r="W7" t="s">
        <v>1799</v>
      </c>
      <c r="X7" t="s">
        <v>1802</v>
      </c>
      <c r="Y7" t="s">
        <v>1166</v>
      </c>
      <c r="Z7" t="s">
        <v>1811</v>
      </c>
      <c r="AA7" t="s">
        <v>1819</v>
      </c>
      <c r="AB7" t="s">
        <v>1827</v>
      </c>
      <c r="AC7" t="s">
        <v>1833</v>
      </c>
      <c r="AD7" t="s">
        <v>1840</v>
      </c>
      <c r="AE7" t="s">
        <v>1848</v>
      </c>
      <c r="AF7" t="s">
        <v>1856</v>
      </c>
      <c r="AG7" t="s">
        <v>1864</v>
      </c>
      <c r="AH7" t="s">
        <v>1872</v>
      </c>
      <c r="AI7" t="s">
        <v>1880</v>
      </c>
      <c r="AJ7" t="s">
        <v>1888</v>
      </c>
      <c r="AK7" t="s">
        <v>1896</v>
      </c>
      <c r="AL7" t="s">
        <v>1904</v>
      </c>
      <c r="AM7" t="s">
        <v>1912</v>
      </c>
      <c r="AN7" t="s">
        <v>1920</v>
      </c>
      <c r="AO7" t="s">
        <v>1926</v>
      </c>
      <c r="AP7" t="s">
        <v>1932</v>
      </c>
      <c r="AQ7" t="s">
        <v>1939</v>
      </c>
      <c r="AR7" t="s">
        <v>1945</v>
      </c>
      <c r="AS7" t="s">
        <v>1167</v>
      </c>
      <c r="AT7" t="s">
        <v>1173</v>
      </c>
      <c r="AU7" t="s">
        <v>1951</v>
      </c>
      <c r="AV7" t="s">
        <v>1956</v>
      </c>
      <c r="AW7" t="s">
        <v>1189</v>
      </c>
      <c r="AX7" t="s">
        <v>1196</v>
      </c>
      <c r="AY7" t="s">
        <v>1963</v>
      </c>
      <c r="AZ7" t="s">
        <v>1971</v>
      </c>
      <c r="BA7" t="s">
        <v>1191</v>
      </c>
      <c r="BB7" t="s">
        <v>1983</v>
      </c>
      <c r="BC7" t="s">
        <v>1991</v>
      </c>
      <c r="BD7" t="s">
        <v>1999</v>
      </c>
      <c r="BE7" t="s">
        <v>2007</v>
      </c>
      <c r="BF7" t="s">
        <v>2015</v>
      </c>
      <c r="BG7" t="s">
        <v>2023</v>
      </c>
      <c r="BH7" t="s">
        <v>2031</v>
      </c>
      <c r="BI7" t="s">
        <v>2039</v>
      </c>
      <c r="BJ7" t="s">
        <v>2047</v>
      </c>
      <c r="BK7" t="s">
        <v>2055</v>
      </c>
      <c r="BL7" t="s">
        <v>2063</v>
      </c>
      <c r="BM7" t="s">
        <v>1194</v>
      </c>
      <c r="BN7" t="s">
        <v>1201</v>
      </c>
      <c r="BO7" t="s">
        <v>1208</v>
      </c>
      <c r="BP7" t="s">
        <v>1215</v>
      </c>
      <c r="BQ7" t="s">
        <v>1190</v>
      </c>
      <c r="BR7" t="s">
        <v>1197</v>
      </c>
      <c r="BS7" t="s">
        <v>2070</v>
      </c>
      <c r="BT7" t="s">
        <v>1211</v>
      </c>
      <c r="BU7" t="s">
        <v>2081</v>
      </c>
      <c r="BV7" t="s">
        <v>2089</v>
      </c>
      <c r="BW7" t="s">
        <v>2097</v>
      </c>
      <c r="BX7" t="s">
        <v>2106</v>
      </c>
      <c r="BZ7" t="s">
        <v>1219</v>
      </c>
      <c r="CA7" t="s">
        <v>1226</v>
      </c>
      <c r="CB7" t="s">
        <v>2118</v>
      </c>
      <c r="CC7" t="s">
        <v>2126</v>
      </c>
      <c r="CD7" t="s">
        <v>2134</v>
      </c>
      <c r="CE7" t="s">
        <v>2142</v>
      </c>
      <c r="CF7" t="s">
        <v>2150</v>
      </c>
      <c r="CG7" t="s">
        <v>2158</v>
      </c>
      <c r="CH7" t="s">
        <v>2166</v>
      </c>
      <c r="CI7" t="s">
        <v>2174</v>
      </c>
      <c r="CJ7" t="s">
        <v>2182</v>
      </c>
      <c r="CK7" t="s">
        <v>2190</v>
      </c>
      <c r="CL7" t="s">
        <v>1222</v>
      </c>
      <c r="CM7" t="s">
        <v>1229</v>
      </c>
      <c r="CN7" t="s">
        <v>1236</v>
      </c>
      <c r="CO7" t="s">
        <v>2196</v>
      </c>
      <c r="CP7" t="s">
        <v>1218</v>
      </c>
      <c r="CQ7" t="s">
        <v>1225</v>
      </c>
      <c r="CR7" t="s">
        <v>2202</v>
      </c>
      <c r="CS7" t="s">
        <v>2208</v>
      </c>
      <c r="CT7" t="s">
        <v>2215</v>
      </c>
      <c r="CU7" t="s">
        <v>2223</v>
      </c>
      <c r="CV7" t="s">
        <v>2232</v>
      </c>
      <c r="CW7" t="s">
        <v>2240</v>
      </c>
      <c r="CY7" t="s">
        <v>1252</v>
      </c>
      <c r="CZ7" t="s">
        <v>2248</v>
      </c>
      <c r="DA7" t="s">
        <v>2256</v>
      </c>
      <c r="DB7" t="s">
        <v>1247</v>
      </c>
      <c r="DC7" t="s">
        <v>2259</v>
      </c>
      <c r="DD7" t="s">
        <v>2266</v>
      </c>
      <c r="DE7" t="s">
        <v>2274</v>
      </c>
      <c r="DF7" t="s">
        <v>2282</v>
      </c>
      <c r="DG7" t="s">
        <v>2290</v>
      </c>
      <c r="DH7" t="s">
        <v>2298</v>
      </c>
      <c r="DI7" t="s">
        <v>2306</v>
      </c>
      <c r="DJ7" t="s">
        <v>2314</v>
      </c>
      <c r="DK7" t="s">
        <v>2322</v>
      </c>
      <c r="DL7" t="s">
        <v>2330</v>
      </c>
      <c r="DM7" t="s">
        <v>2338</v>
      </c>
      <c r="DN7" t="s">
        <v>1250</v>
      </c>
      <c r="DO7" t="s">
        <v>1257</v>
      </c>
      <c r="DP7" t="s">
        <v>1264</v>
      </c>
      <c r="DQ7" t="s">
        <v>1271</v>
      </c>
      <c r="DR7" t="s">
        <v>1246</v>
      </c>
      <c r="DS7" t="s">
        <v>2345</v>
      </c>
      <c r="DT7" t="s">
        <v>2350</v>
      </c>
      <c r="DU7" t="s">
        <v>1267</v>
      </c>
      <c r="DV7" t="s">
        <v>2359</v>
      </c>
      <c r="DW7" t="s">
        <v>2367</v>
      </c>
      <c r="DX7" t="s">
        <v>2378</v>
      </c>
      <c r="DY7" t="s">
        <v>2386</v>
      </c>
      <c r="EA7" t="s">
        <v>1275</v>
      </c>
      <c r="EB7" t="s">
        <v>2391</v>
      </c>
      <c r="EC7" t="s">
        <v>2398</v>
      </c>
      <c r="ED7" t="s">
        <v>2406</v>
      </c>
      <c r="EE7" t="s">
        <v>2414</v>
      </c>
      <c r="EF7" t="s">
        <v>2422</v>
      </c>
      <c r="EG7" t="s">
        <v>2430</v>
      </c>
      <c r="EH7" t="s">
        <v>2438</v>
      </c>
      <c r="EI7" t="s">
        <v>2446</v>
      </c>
      <c r="EJ7" t="s">
        <v>2454</v>
      </c>
      <c r="EK7" t="s">
        <v>2462</v>
      </c>
      <c r="EL7" t="s">
        <v>2470</v>
      </c>
      <c r="EM7" t="s">
        <v>1278</v>
      </c>
      <c r="EN7" t="s">
        <v>1285</v>
      </c>
      <c r="EO7" t="s">
        <v>1292</v>
      </c>
      <c r="EP7" t="s">
        <v>2478</v>
      </c>
      <c r="EQ7" t="s">
        <v>1274</v>
      </c>
      <c r="ER7" t="s">
        <v>1281</v>
      </c>
      <c r="ES7" t="s">
        <v>2484</v>
      </c>
      <c r="ET7" t="s">
        <v>2490</v>
      </c>
      <c r="EU7" t="s">
        <v>2498</v>
      </c>
      <c r="EV7" t="s">
        <v>2508</v>
      </c>
      <c r="EW7" t="s">
        <v>2516</v>
      </c>
      <c r="EX7" t="s">
        <v>2524</v>
      </c>
    </row>
    <row r="8" spans="1:157" x14ac:dyDescent="0.3">
      <c r="A8" t="s">
        <v>1313</v>
      </c>
      <c r="B8" t="s">
        <v>1663</v>
      </c>
      <c r="C8" t="s">
        <v>1671</v>
      </c>
      <c r="D8" t="s">
        <v>1679</v>
      </c>
      <c r="E8" t="s">
        <v>1312</v>
      </c>
      <c r="F8" t="s">
        <v>1318</v>
      </c>
      <c r="G8" t="s">
        <v>1695</v>
      </c>
      <c r="H8" t="s">
        <v>1703</v>
      </c>
      <c r="I8" t="s">
        <v>1711</v>
      </c>
      <c r="J8" t="s">
        <v>1719</v>
      </c>
      <c r="K8" t="s">
        <v>1727</v>
      </c>
      <c r="L8" t="s">
        <v>1735</v>
      </c>
      <c r="M8" t="s">
        <v>1743</v>
      </c>
      <c r="N8" t="s">
        <v>1751</v>
      </c>
      <c r="O8" t="s">
        <v>1759</v>
      </c>
      <c r="P8" t="s">
        <v>1767</v>
      </c>
      <c r="Q8" t="s">
        <v>1775</v>
      </c>
      <c r="R8" t="s">
        <v>1783</v>
      </c>
      <c r="S8" t="s">
        <v>1790</v>
      </c>
      <c r="T8" t="s">
        <v>1794</v>
      </c>
      <c r="U8" t="s">
        <v>1314</v>
      </c>
      <c r="V8" t="s">
        <v>1320</v>
      </c>
      <c r="W8" t="s">
        <v>1800</v>
      </c>
      <c r="X8" t="s">
        <v>1332</v>
      </c>
      <c r="Y8" t="s">
        <v>1805</v>
      </c>
      <c r="Z8" t="s">
        <v>1812</v>
      </c>
      <c r="AA8" t="s">
        <v>1820</v>
      </c>
      <c r="AB8" t="s">
        <v>1828</v>
      </c>
      <c r="AC8" t="s">
        <v>1834</v>
      </c>
      <c r="AD8" t="s">
        <v>1841</v>
      </c>
      <c r="AE8" t="s">
        <v>1849</v>
      </c>
      <c r="AF8" t="s">
        <v>1857</v>
      </c>
      <c r="AG8" t="s">
        <v>1865</v>
      </c>
      <c r="AH8" t="s">
        <v>1873</v>
      </c>
      <c r="AI8" t="s">
        <v>1881</v>
      </c>
      <c r="AJ8" t="s">
        <v>1889</v>
      </c>
      <c r="AK8" t="s">
        <v>1897</v>
      </c>
      <c r="AL8" t="s">
        <v>1905</v>
      </c>
      <c r="AM8" t="s">
        <v>1913</v>
      </c>
      <c r="AN8" t="s">
        <v>1921</v>
      </c>
      <c r="AO8" t="s">
        <v>1927</v>
      </c>
      <c r="AP8" t="s">
        <v>1933</v>
      </c>
      <c r="AQ8" t="s">
        <v>1940</v>
      </c>
      <c r="AR8" t="s">
        <v>1946</v>
      </c>
      <c r="AS8" t="s">
        <v>1338</v>
      </c>
      <c r="AT8" t="s">
        <v>1344</v>
      </c>
      <c r="AU8" t="s">
        <v>1350</v>
      </c>
      <c r="AV8" t="s">
        <v>1356</v>
      </c>
      <c r="AW8" t="s">
        <v>1360</v>
      </c>
      <c r="AX8" t="s">
        <v>1367</v>
      </c>
      <c r="AY8" t="s">
        <v>1964</v>
      </c>
      <c r="AZ8" t="s">
        <v>1972</v>
      </c>
      <c r="BA8" t="s">
        <v>1977</v>
      </c>
      <c r="BB8" t="s">
        <v>1984</v>
      </c>
      <c r="BC8" t="s">
        <v>1992</v>
      </c>
      <c r="BD8" t="s">
        <v>2000</v>
      </c>
      <c r="BE8" t="s">
        <v>2008</v>
      </c>
      <c r="BF8" t="s">
        <v>2016</v>
      </c>
      <c r="BG8" t="s">
        <v>2024</v>
      </c>
      <c r="BH8" t="s">
        <v>2032</v>
      </c>
      <c r="BI8" t="s">
        <v>2040</v>
      </c>
      <c r="BJ8" t="s">
        <v>2048</v>
      </c>
      <c r="BK8" t="s">
        <v>2056</v>
      </c>
      <c r="BL8" t="s">
        <v>2064</v>
      </c>
      <c r="BM8" t="s">
        <v>1365</v>
      </c>
      <c r="BN8" t="s">
        <v>1372</v>
      </c>
      <c r="BO8" t="s">
        <v>1379</v>
      </c>
      <c r="BP8" t="s">
        <v>1386</v>
      </c>
      <c r="BQ8" t="s">
        <v>1361</v>
      </c>
      <c r="BR8" t="s">
        <v>1368</v>
      </c>
      <c r="BS8" t="s">
        <v>1375</v>
      </c>
      <c r="BT8" t="s">
        <v>2075</v>
      </c>
      <c r="BU8" t="s">
        <v>2082</v>
      </c>
      <c r="BV8" t="s">
        <v>2090</v>
      </c>
      <c r="BW8" t="s">
        <v>2098</v>
      </c>
      <c r="BX8" t="s">
        <v>2107</v>
      </c>
      <c r="BZ8" t="s">
        <v>1390</v>
      </c>
      <c r="CA8" t="s">
        <v>1397</v>
      </c>
      <c r="CB8" t="s">
        <v>2119</v>
      </c>
      <c r="CC8" t="s">
        <v>2127</v>
      </c>
      <c r="CD8" t="s">
        <v>2135</v>
      </c>
      <c r="CE8" t="s">
        <v>2143</v>
      </c>
      <c r="CF8" t="s">
        <v>2151</v>
      </c>
      <c r="CG8" t="s">
        <v>2159</v>
      </c>
      <c r="CH8" t="s">
        <v>2167</v>
      </c>
      <c r="CI8" t="s">
        <v>2175</v>
      </c>
      <c r="CJ8" t="s">
        <v>2183</v>
      </c>
      <c r="CK8" t="s">
        <v>2191</v>
      </c>
      <c r="CL8" t="s">
        <v>1393</v>
      </c>
      <c r="CM8" t="s">
        <v>1400</v>
      </c>
      <c r="CN8" t="s">
        <v>2194</v>
      </c>
      <c r="CO8" t="s">
        <v>1414</v>
      </c>
      <c r="CP8" t="s">
        <v>1389</v>
      </c>
      <c r="CQ8" t="s">
        <v>1396</v>
      </c>
      <c r="CR8" t="s">
        <v>2203</v>
      </c>
      <c r="CS8" t="s">
        <v>2209</v>
      </c>
      <c r="CT8" t="s">
        <v>2216</v>
      </c>
      <c r="CU8" t="s">
        <v>2224</v>
      </c>
      <c r="CV8" t="s">
        <v>2233</v>
      </c>
      <c r="CW8" t="s">
        <v>2241</v>
      </c>
      <c r="CY8" t="s">
        <v>1423</v>
      </c>
      <c r="CZ8" t="s">
        <v>2249</v>
      </c>
      <c r="DA8" t="s">
        <v>2257</v>
      </c>
      <c r="DB8" t="s">
        <v>1418</v>
      </c>
      <c r="DC8" t="s">
        <v>1425</v>
      </c>
      <c r="DD8" t="s">
        <v>2267</v>
      </c>
      <c r="DE8" t="s">
        <v>2275</v>
      </c>
      <c r="DF8" t="s">
        <v>2283</v>
      </c>
      <c r="DG8" t="s">
        <v>2291</v>
      </c>
      <c r="DH8" t="s">
        <v>2299</v>
      </c>
      <c r="DI8" t="s">
        <v>2307</v>
      </c>
      <c r="DJ8" t="s">
        <v>2315</v>
      </c>
      <c r="DK8" t="s">
        <v>2323</v>
      </c>
      <c r="DL8" t="s">
        <v>2331</v>
      </c>
      <c r="DM8" t="s">
        <v>2339</v>
      </c>
      <c r="DN8" t="s">
        <v>1421</v>
      </c>
      <c r="DO8" t="s">
        <v>1428</v>
      </c>
      <c r="DP8" t="s">
        <v>1435</v>
      </c>
      <c r="DQ8" t="s">
        <v>1442</v>
      </c>
      <c r="DR8" t="s">
        <v>1417</v>
      </c>
      <c r="DS8" t="s">
        <v>1424</v>
      </c>
      <c r="DT8" t="s">
        <v>1431</v>
      </c>
      <c r="DU8" t="s">
        <v>2353</v>
      </c>
      <c r="DV8" t="s">
        <v>2360</v>
      </c>
      <c r="DW8" t="s">
        <v>2368</v>
      </c>
      <c r="DX8" t="s">
        <v>2379</v>
      </c>
      <c r="DY8" t="s">
        <v>2387</v>
      </c>
      <c r="EA8" t="s">
        <v>1446</v>
      </c>
      <c r="EB8" t="s">
        <v>2392</v>
      </c>
      <c r="EC8" t="s">
        <v>2399</v>
      </c>
      <c r="ED8" t="s">
        <v>2407</v>
      </c>
      <c r="EE8" t="s">
        <v>2415</v>
      </c>
      <c r="EF8" t="s">
        <v>2423</v>
      </c>
      <c r="EG8" t="s">
        <v>2431</v>
      </c>
      <c r="EH8" t="s">
        <v>2439</v>
      </c>
      <c r="EI8" t="s">
        <v>2447</v>
      </c>
      <c r="EJ8" t="s">
        <v>2455</v>
      </c>
      <c r="EK8" t="s">
        <v>2463</v>
      </c>
      <c r="EL8" t="s">
        <v>2471</v>
      </c>
      <c r="EM8" t="s">
        <v>1449</v>
      </c>
      <c r="EN8" t="s">
        <v>1456</v>
      </c>
      <c r="EO8" t="s">
        <v>1463</v>
      </c>
      <c r="EP8" t="s">
        <v>1470</v>
      </c>
      <c r="EQ8" t="s">
        <v>1445</v>
      </c>
      <c r="ER8" t="s">
        <v>1452</v>
      </c>
      <c r="ES8" t="s">
        <v>2485</v>
      </c>
      <c r="ET8" t="s">
        <v>2491</v>
      </c>
      <c r="EU8" t="s">
        <v>2499</v>
      </c>
      <c r="EV8" t="s">
        <v>2509</v>
      </c>
      <c r="EW8" t="s">
        <v>2517</v>
      </c>
      <c r="EX8" t="s">
        <v>2525</v>
      </c>
    </row>
    <row r="9" spans="1:157" x14ac:dyDescent="0.3">
      <c r="A9" t="s">
        <v>1485</v>
      </c>
      <c r="B9" t="s">
        <v>1664</v>
      </c>
      <c r="C9" t="s">
        <v>1672</v>
      </c>
      <c r="D9" t="s">
        <v>1680</v>
      </c>
      <c r="E9" t="s">
        <v>1682</v>
      </c>
      <c r="F9" t="s">
        <v>1688</v>
      </c>
      <c r="G9" t="s">
        <v>1696</v>
      </c>
      <c r="H9" t="s">
        <v>1704</v>
      </c>
      <c r="I9" t="s">
        <v>1712</v>
      </c>
      <c r="J9" t="s">
        <v>1720</v>
      </c>
      <c r="K9" t="s">
        <v>1728</v>
      </c>
      <c r="L9" t="s">
        <v>1736</v>
      </c>
      <c r="M9" t="s">
        <v>1744</v>
      </c>
      <c r="N9" t="s">
        <v>1752</v>
      </c>
      <c r="O9" t="s">
        <v>1760</v>
      </c>
      <c r="P9" t="s">
        <v>1768</v>
      </c>
      <c r="Q9" t="s">
        <v>1776</v>
      </c>
      <c r="R9" t="s">
        <v>1784</v>
      </c>
      <c r="S9" t="s">
        <v>1791</v>
      </c>
      <c r="T9" t="s">
        <v>1795</v>
      </c>
      <c r="U9" t="s">
        <v>1486</v>
      </c>
      <c r="V9" t="s">
        <v>1492</v>
      </c>
      <c r="W9" t="s">
        <v>1498</v>
      </c>
      <c r="X9" t="s">
        <v>1504</v>
      </c>
      <c r="Y9" t="s">
        <v>1509</v>
      </c>
      <c r="Z9" t="s">
        <v>1813</v>
      </c>
      <c r="AA9" t="s">
        <v>1821</v>
      </c>
      <c r="AB9" t="s">
        <v>1829</v>
      </c>
      <c r="AC9" t="s">
        <v>1508</v>
      </c>
      <c r="AD9" t="s">
        <v>1842</v>
      </c>
      <c r="AE9" t="s">
        <v>1850</v>
      </c>
      <c r="AF9" t="s">
        <v>1858</v>
      </c>
      <c r="AG9" t="s">
        <v>1866</v>
      </c>
      <c r="AH9" t="s">
        <v>1874</v>
      </c>
      <c r="AI9" t="s">
        <v>1882</v>
      </c>
      <c r="AJ9" t="s">
        <v>1890</v>
      </c>
      <c r="AK9" t="s">
        <v>1898</v>
      </c>
      <c r="AL9" t="s">
        <v>1906</v>
      </c>
      <c r="AM9" t="s">
        <v>1914</v>
      </c>
      <c r="AN9" t="s">
        <v>1767</v>
      </c>
      <c r="AO9" t="s">
        <v>1512</v>
      </c>
      <c r="AP9" t="s">
        <v>1934</v>
      </c>
      <c r="AQ9" t="s">
        <v>1941</v>
      </c>
      <c r="AR9" t="s">
        <v>1947</v>
      </c>
      <c r="AS9" t="s">
        <v>1510</v>
      </c>
      <c r="AT9" t="s">
        <v>1948</v>
      </c>
      <c r="AU9" t="s">
        <v>1952</v>
      </c>
      <c r="AV9" t="s">
        <v>1957</v>
      </c>
      <c r="AW9" t="s">
        <v>1531</v>
      </c>
      <c r="AX9" t="s">
        <v>1538</v>
      </c>
      <c r="AY9" t="s">
        <v>1965</v>
      </c>
      <c r="AZ9" t="s">
        <v>1973</v>
      </c>
      <c r="BA9" t="s">
        <v>1533</v>
      </c>
      <c r="BB9" t="s">
        <v>1985</v>
      </c>
      <c r="BC9" t="s">
        <v>1993</v>
      </c>
      <c r="BD9" t="s">
        <v>2001</v>
      </c>
      <c r="BE9" t="s">
        <v>2009</v>
      </c>
      <c r="BF9" t="s">
        <v>2017</v>
      </c>
      <c r="BG9" t="s">
        <v>2025</v>
      </c>
      <c r="BH9" t="s">
        <v>2033</v>
      </c>
      <c r="BI9" t="s">
        <v>2041</v>
      </c>
      <c r="BJ9" t="s">
        <v>2049</v>
      </c>
      <c r="BK9" t="s">
        <v>2057</v>
      </c>
      <c r="BL9" t="s">
        <v>2065</v>
      </c>
      <c r="BM9" t="s">
        <v>1536</v>
      </c>
      <c r="BN9" t="s">
        <v>1543</v>
      </c>
      <c r="BO9" t="s">
        <v>1550</v>
      </c>
      <c r="BP9" t="s">
        <v>1557</v>
      </c>
      <c r="BQ9" t="s">
        <v>1532</v>
      </c>
      <c r="BR9" t="s">
        <v>1539</v>
      </c>
      <c r="BS9" t="s">
        <v>2071</v>
      </c>
      <c r="BT9" t="s">
        <v>1553</v>
      </c>
      <c r="BU9" t="s">
        <v>2083</v>
      </c>
      <c r="BV9" t="s">
        <v>2091</v>
      </c>
      <c r="BW9" t="s">
        <v>2099</v>
      </c>
      <c r="BX9" t="s">
        <v>2108</v>
      </c>
      <c r="BZ9" t="s">
        <v>1561</v>
      </c>
      <c r="CA9" t="s">
        <v>2112</v>
      </c>
      <c r="CB9" t="s">
        <v>2120</v>
      </c>
      <c r="CC9" t="s">
        <v>2128</v>
      </c>
      <c r="CD9" t="s">
        <v>2136</v>
      </c>
      <c r="CE9" t="s">
        <v>2144</v>
      </c>
      <c r="CF9" t="s">
        <v>2152</v>
      </c>
      <c r="CG9" t="s">
        <v>2160</v>
      </c>
      <c r="CH9" t="s">
        <v>2168</v>
      </c>
      <c r="CI9" t="s">
        <v>2176</v>
      </c>
      <c r="CJ9" t="s">
        <v>2184</v>
      </c>
      <c r="CK9" t="s">
        <v>2192</v>
      </c>
      <c r="CL9" t="s">
        <v>1564</v>
      </c>
      <c r="CM9" t="s">
        <v>1571</v>
      </c>
      <c r="CN9" t="s">
        <v>2195</v>
      </c>
      <c r="CO9" t="s">
        <v>2197</v>
      </c>
      <c r="CP9" t="s">
        <v>1560</v>
      </c>
      <c r="CQ9" t="s">
        <v>1567</v>
      </c>
      <c r="CR9" t="s">
        <v>1574</v>
      </c>
      <c r="CS9" t="s">
        <v>1581</v>
      </c>
      <c r="CT9" t="s">
        <v>2217</v>
      </c>
      <c r="CU9" t="s">
        <v>2225</v>
      </c>
      <c r="CV9" t="s">
        <v>2234</v>
      </c>
      <c r="CW9" t="s">
        <v>2242</v>
      </c>
      <c r="CY9" t="s">
        <v>1593</v>
      </c>
      <c r="CZ9" t="s">
        <v>2250</v>
      </c>
      <c r="DA9" t="s">
        <v>2258</v>
      </c>
      <c r="DB9" t="s">
        <v>1588</v>
      </c>
      <c r="DC9" t="s">
        <v>2260</v>
      </c>
      <c r="DD9" t="s">
        <v>2268</v>
      </c>
      <c r="DE9" t="s">
        <v>2276</v>
      </c>
      <c r="DF9" t="s">
        <v>2284</v>
      </c>
      <c r="DG9" t="s">
        <v>2292</v>
      </c>
      <c r="DH9" t="s">
        <v>2300</v>
      </c>
      <c r="DI9" t="s">
        <v>2308</v>
      </c>
      <c r="DJ9" t="s">
        <v>2316</v>
      </c>
      <c r="DK9" t="s">
        <v>2324</v>
      </c>
      <c r="DL9" t="s">
        <v>2332</v>
      </c>
      <c r="DM9" t="s">
        <v>2340</v>
      </c>
      <c r="DN9" t="s">
        <v>1591</v>
      </c>
      <c r="DO9" t="s">
        <v>1598</v>
      </c>
      <c r="DP9" t="s">
        <v>2344</v>
      </c>
      <c r="DQ9" t="s">
        <v>1611</v>
      </c>
      <c r="DR9" t="s">
        <v>1587</v>
      </c>
      <c r="DS9" t="s">
        <v>2346</v>
      </c>
      <c r="DT9" t="s">
        <v>1601</v>
      </c>
      <c r="DV9" t="s">
        <v>2361</v>
      </c>
      <c r="DW9" t="s">
        <v>2369</v>
      </c>
      <c r="DX9" t="s">
        <v>2380</v>
      </c>
      <c r="DY9" t="s">
        <v>2388</v>
      </c>
      <c r="EA9" t="s">
        <v>1615</v>
      </c>
      <c r="EB9" t="s">
        <v>1622</v>
      </c>
      <c r="EC9" t="s">
        <v>2400</v>
      </c>
      <c r="ED9" t="s">
        <v>2408</v>
      </c>
      <c r="EE9" t="s">
        <v>2416</v>
      </c>
      <c r="EF9" t="s">
        <v>2424</v>
      </c>
      <c r="EG9" t="s">
        <v>2432</v>
      </c>
      <c r="EH9" t="s">
        <v>2440</v>
      </c>
      <c r="EI9" t="s">
        <v>2448</v>
      </c>
      <c r="EJ9" t="s">
        <v>2456</v>
      </c>
      <c r="EK9" t="s">
        <v>2464</v>
      </c>
      <c r="EL9" t="s">
        <v>2472</v>
      </c>
      <c r="EM9" t="s">
        <v>1618</v>
      </c>
      <c r="EN9" t="s">
        <v>1625</v>
      </c>
      <c r="EO9" t="s">
        <v>1632</v>
      </c>
      <c r="EP9" t="s">
        <v>1639</v>
      </c>
      <c r="EQ9" t="s">
        <v>1614</v>
      </c>
      <c r="ER9" t="s">
        <v>1621</v>
      </c>
      <c r="ES9" t="s">
        <v>1628</v>
      </c>
      <c r="ET9" t="s">
        <v>2492</v>
      </c>
      <c r="EU9" t="s">
        <v>2500</v>
      </c>
      <c r="EV9" t="s">
        <v>2510</v>
      </c>
      <c r="EW9" t="s">
        <v>2518</v>
      </c>
      <c r="EX9" t="s">
        <v>2526</v>
      </c>
    </row>
    <row r="21" spans="1:1" x14ac:dyDescent="0.3">
      <c r="A21" t="s">
        <v>1725</v>
      </c>
    </row>
    <row r="22" spans="1:1" x14ac:dyDescent="0.3">
      <c r="A22" t="s">
        <v>1726</v>
      </c>
    </row>
    <row r="23" spans="1:1" x14ac:dyDescent="0.3">
      <c r="A23" t="s">
        <v>1727</v>
      </c>
    </row>
    <row r="24" spans="1:1" x14ac:dyDescent="0.3">
      <c r="A24" t="s">
        <v>1728</v>
      </c>
    </row>
    <row r="25" spans="1:1" x14ac:dyDescent="0.3">
      <c r="A25" t="s">
        <v>1729</v>
      </c>
    </row>
    <row r="26" spans="1:1" x14ac:dyDescent="0.3">
      <c r="A26" t="s">
        <v>1730</v>
      </c>
    </row>
    <row r="27" spans="1:1" x14ac:dyDescent="0.3">
      <c r="A27" t="s">
        <v>1731</v>
      </c>
    </row>
    <row r="28" spans="1:1" x14ac:dyDescent="0.3">
      <c r="A28" t="s">
        <v>1732</v>
      </c>
    </row>
    <row r="29" spans="1:1" x14ac:dyDescent="0.3">
      <c r="A29" t="s">
        <v>1733</v>
      </c>
    </row>
    <row r="30" spans="1:1" x14ac:dyDescent="0.3">
      <c r="A30" t="s">
        <v>1734</v>
      </c>
    </row>
    <row r="31" spans="1:1" x14ac:dyDescent="0.3">
      <c r="A31" t="s">
        <v>1735</v>
      </c>
    </row>
    <row r="32" spans="1:1" x14ac:dyDescent="0.3">
      <c r="A32" t="s">
        <v>1736</v>
      </c>
    </row>
    <row r="33" spans="1:1" x14ac:dyDescent="0.3">
      <c r="A33" t="s">
        <v>306</v>
      </c>
    </row>
    <row r="34" spans="1:1" x14ac:dyDescent="0.3">
      <c r="A34" t="s">
        <v>1656</v>
      </c>
    </row>
    <row r="35" spans="1:1" x14ac:dyDescent="0.3">
      <c r="A35" t="s">
        <v>644</v>
      </c>
    </row>
    <row r="36" spans="1:1" x14ac:dyDescent="0.3">
      <c r="A36" t="s">
        <v>1657</v>
      </c>
    </row>
    <row r="37" spans="1:1" x14ac:dyDescent="0.3">
      <c r="A37" t="s">
        <v>973</v>
      </c>
    </row>
    <row r="38" spans="1:1" x14ac:dyDescent="0.3">
      <c r="A38" t="s">
        <v>1658</v>
      </c>
    </row>
    <row r="39" spans="1:1" x14ac:dyDescent="0.3">
      <c r="A39" t="s">
        <v>1313</v>
      </c>
    </row>
    <row r="40" spans="1:1" x14ac:dyDescent="0.3">
      <c r="A40" t="s">
        <v>1485</v>
      </c>
    </row>
    <row r="41" spans="1:1" x14ac:dyDescent="0.3">
      <c r="A41" t="s">
        <v>311</v>
      </c>
    </row>
    <row r="42" spans="1:1" x14ac:dyDescent="0.3">
      <c r="A42" t="s">
        <v>1659</v>
      </c>
    </row>
    <row r="43" spans="1:1" x14ac:dyDescent="0.3">
      <c r="A43" t="s">
        <v>650</v>
      </c>
    </row>
    <row r="44" spans="1:1" x14ac:dyDescent="0.3">
      <c r="A44" t="s">
        <v>1660</v>
      </c>
    </row>
    <row r="45" spans="1:1" x14ac:dyDescent="0.3">
      <c r="A45" t="s">
        <v>1661</v>
      </c>
    </row>
    <row r="46" spans="1:1" x14ac:dyDescent="0.3">
      <c r="A46" t="s">
        <v>1662</v>
      </c>
    </row>
    <row r="47" spans="1:1" x14ac:dyDescent="0.3">
      <c r="A47" t="s">
        <v>1663</v>
      </c>
    </row>
    <row r="48" spans="1:1" x14ac:dyDescent="0.3">
      <c r="A48" t="s">
        <v>1664</v>
      </c>
    </row>
    <row r="49" spans="1:1" x14ac:dyDescent="0.3">
      <c r="A49" t="s">
        <v>1665</v>
      </c>
    </row>
    <row r="50" spans="1:1" x14ac:dyDescent="0.3">
      <c r="A50" t="s">
        <v>1666</v>
      </c>
    </row>
    <row r="51" spans="1:1" x14ac:dyDescent="0.3">
      <c r="A51" t="s">
        <v>1667</v>
      </c>
    </row>
    <row r="52" spans="1:1" x14ac:dyDescent="0.3">
      <c r="A52" t="s">
        <v>1668</v>
      </c>
    </row>
    <row r="53" spans="1:1" x14ac:dyDescent="0.3">
      <c r="A53" t="s">
        <v>1669</v>
      </c>
    </row>
    <row r="54" spans="1:1" x14ac:dyDescent="0.3">
      <c r="A54" t="s">
        <v>1670</v>
      </c>
    </row>
    <row r="55" spans="1:1" x14ac:dyDescent="0.3">
      <c r="A55" t="s">
        <v>1671</v>
      </c>
    </row>
    <row r="56" spans="1:1" x14ac:dyDescent="0.3">
      <c r="A56" t="s">
        <v>1672</v>
      </c>
    </row>
    <row r="57" spans="1:1" x14ac:dyDescent="0.3">
      <c r="A57" t="s">
        <v>1673</v>
      </c>
    </row>
    <row r="58" spans="1:1" x14ac:dyDescent="0.3">
      <c r="A58" t="s">
        <v>1674</v>
      </c>
    </row>
    <row r="59" spans="1:1" x14ac:dyDescent="0.3">
      <c r="A59" t="s">
        <v>1675</v>
      </c>
    </row>
    <row r="60" spans="1:1" x14ac:dyDescent="0.3">
      <c r="A60" t="s">
        <v>1676</v>
      </c>
    </row>
    <row r="61" spans="1:1" x14ac:dyDescent="0.3">
      <c r="A61" t="s">
        <v>1677</v>
      </c>
    </row>
    <row r="62" spans="1:1" x14ac:dyDescent="0.3">
      <c r="A62" t="s">
        <v>1678</v>
      </c>
    </row>
    <row r="63" spans="1:1" x14ac:dyDescent="0.3">
      <c r="A63" t="s">
        <v>1679</v>
      </c>
    </row>
    <row r="64" spans="1:1" x14ac:dyDescent="0.3">
      <c r="A64" t="s">
        <v>1680</v>
      </c>
    </row>
    <row r="65" spans="1:1" x14ac:dyDescent="0.3">
      <c r="A65" t="s">
        <v>1737</v>
      </c>
    </row>
    <row r="66" spans="1:1" x14ac:dyDescent="0.3">
      <c r="A66" t="s">
        <v>1738</v>
      </c>
    </row>
    <row r="67" spans="1:1" x14ac:dyDescent="0.3">
      <c r="A67" t="s">
        <v>1739</v>
      </c>
    </row>
    <row r="68" spans="1:1" x14ac:dyDescent="0.3">
      <c r="A68" t="s">
        <v>1740</v>
      </c>
    </row>
    <row r="69" spans="1:1" x14ac:dyDescent="0.3">
      <c r="A69" t="s">
        <v>1741</v>
      </c>
    </row>
    <row r="70" spans="1:1" x14ac:dyDescent="0.3">
      <c r="A70" t="s">
        <v>1742</v>
      </c>
    </row>
    <row r="71" spans="1:1" x14ac:dyDescent="0.3">
      <c r="A71" t="s">
        <v>1743</v>
      </c>
    </row>
    <row r="72" spans="1:1" x14ac:dyDescent="0.3">
      <c r="A72" t="s">
        <v>1744</v>
      </c>
    </row>
    <row r="73" spans="1:1" x14ac:dyDescent="0.3">
      <c r="A73" t="s">
        <v>1745</v>
      </c>
    </row>
    <row r="74" spans="1:1" x14ac:dyDescent="0.3">
      <c r="A74" t="s">
        <v>1746</v>
      </c>
    </row>
    <row r="75" spans="1:1" x14ac:dyDescent="0.3">
      <c r="A75" t="s">
        <v>1747</v>
      </c>
    </row>
    <row r="76" spans="1:1" x14ac:dyDescent="0.3">
      <c r="A76" t="s">
        <v>1748</v>
      </c>
    </row>
    <row r="77" spans="1:1" x14ac:dyDescent="0.3">
      <c r="A77" t="s">
        <v>1749</v>
      </c>
    </row>
    <row r="78" spans="1:1" x14ac:dyDescent="0.3">
      <c r="A78" t="s">
        <v>1750</v>
      </c>
    </row>
    <row r="79" spans="1:1" x14ac:dyDescent="0.3">
      <c r="A79" t="s">
        <v>1751</v>
      </c>
    </row>
    <row r="80" spans="1:1" x14ac:dyDescent="0.3">
      <c r="A80" t="s">
        <v>1752</v>
      </c>
    </row>
    <row r="81" spans="1:1" x14ac:dyDescent="0.3">
      <c r="A81" t="s">
        <v>1753</v>
      </c>
    </row>
    <row r="82" spans="1:1" x14ac:dyDescent="0.3">
      <c r="A82" t="s">
        <v>1754</v>
      </c>
    </row>
    <row r="83" spans="1:1" x14ac:dyDescent="0.3">
      <c r="A83" t="s">
        <v>1755</v>
      </c>
    </row>
    <row r="84" spans="1:1" x14ac:dyDescent="0.3">
      <c r="A84" t="s">
        <v>1756</v>
      </c>
    </row>
    <row r="85" spans="1:1" x14ac:dyDescent="0.3">
      <c r="A85" t="s">
        <v>1757</v>
      </c>
    </row>
    <row r="86" spans="1:1" x14ac:dyDescent="0.3">
      <c r="A86" t="s">
        <v>1758</v>
      </c>
    </row>
    <row r="87" spans="1:1" x14ac:dyDescent="0.3">
      <c r="A87" t="s">
        <v>1759</v>
      </c>
    </row>
    <row r="88" spans="1:1" x14ac:dyDescent="0.3">
      <c r="A88" t="s">
        <v>1760</v>
      </c>
    </row>
    <row r="89" spans="1:1" x14ac:dyDescent="0.3">
      <c r="A89" t="s">
        <v>1761</v>
      </c>
    </row>
    <row r="90" spans="1:1" x14ac:dyDescent="0.3">
      <c r="A90" t="s">
        <v>1762</v>
      </c>
    </row>
    <row r="91" spans="1:1" x14ac:dyDescent="0.3">
      <c r="A91" t="s">
        <v>1763</v>
      </c>
    </row>
    <row r="92" spans="1:1" x14ac:dyDescent="0.3">
      <c r="A92" t="s">
        <v>1764</v>
      </c>
    </row>
    <row r="93" spans="1:1" x14ac:dyDescent="0.3">
      <c r="A93" t="s">
        <v>1765</v>
      </c>
    </row>
    <row r="94" spans="1:1" x14ac:dyDescent="0.3">
      <c r="A94" t="s">
        <v>1766</v>
      </c>
    </row>
    <row r="95" spans="1:1" x14ac:dyDescent="0.3">
      <c r="A95" t="s">
        <v>1767</v>
      </c>
    </row>
    <row r="96" spans="1:1" x14ac:dyDescent="0.3">
      <c r="A96" t="s">
        <v>1768</v>
      </c>
    </row>
    <row r="97" spans="1:1" x14ac:dyDescent="0.3">
      <c r="A97" t="s">
        <v>65</v>
      </c>
    </row>
    <row r="98" spans="1:1" x14ac:dyDescent="0.3">
      <c r="A98" t="s">
        <v>472</v>
      </c>
    </row>
    <row r="99" spans="1:1" x14ac:dyDescent="0.3">
      <c r="A99" t="s">
        <v>645</v>
      </c>
    </row>
    <row r="100" spans="1:1" x14ac:dyDescent="0.3">
      <c r="A100" t="s">
        <v>812</v>
      </c>
    </row>
    <row r="101" spans="1:1" x14ac:dyDescent="0.3">
      <c r="A101" t="s">
        <v>974</v>
      </c>
    </row>
    <row r="102" spans="1:1" x14ac:dyDescent="0.3">
      <c r="A102" t="s">
        <v>1143</v>
      </c>
    </row>
    <row r="103" spans="1:1" x14ac:dyDescent="0.3">
      <c r="A103" t="s">
        <v>1314</v>
      </c>
    </row>
    <row r="104" spans="1:1" x14ac:dyDescent="0.3">
      <c r="A104" t="s">
        <v>1486</v>
      </c>
    </row>
    <row r="105" spans="1:1" x14ac:dyDescent="0.3">
      <c r="A105" t="s">
        <v>1796</v>
      </c>
    </row>
    <row r="106" spans="1:1" x14ac:dyDescent="0.3">
      <c r="A106" t="s">
        <v>478</v>
      </c>
    </row>
    <row r="107" spans="1:1" x14ac:dyDescent="0.3">
      <c r="A107" t="s">
        <v>651</v>
      </c>
    </row>
    <row r="108" spans="1:1" x14ac:dyDescent="0.3">
      <c r="A108" t="s">
        <v>818</v>
      </c>
    </row>
    <row r="109" spans="1:1" x14ac:dyDescent="0.3">
      <c r="A109" t="s">
        <v>980</v>
      </c>
    </row>
    <row r="110" spans="1:1" x14ac:dyDescent="0.3">
      <c r="A110" t="s">
        <v>1149</v>
      </c>
    </row>
    <row r="111" spans="1:1" x14ac:dyDescent="0.3">
      <c r="A111" t="s">
        <v>1320</v>
      </c>
    </row>
    <row r="112" spans="1:1" x14ac:dyDescent="0.3">
      <c r="A112" t="s">
        <v>1492</v>
      </c>
    </row>
    <row r="113" spans="1:1" x14ac:dyDescent="0.3">
      <c r="A113" t="s">
        <v>318</v>
      </c>
    </row>
    <row r="114" spans="1:1" x14ac:dyDescent="0.3">
      <c r="A114" t="s">
        <v>484</v>
      </c>
    </row>
    <row r="115" spans="1:1" x14ac:dyDescent="0.3">
      <c r="A115" t="s">
        <v>1797</v>
      </c>
    </row>
    <row r="116" spans="1:1" x14ac:dyDescent="0.3">
      <c r="A116" t="s">
        <v>824</v>
      </c>
    </row>
    <row r="117" spans="1:1" x14ac:dyDescent="0.3">
      <c r="A117" t="s">
        <v>1798</v>
      </c>
    </row>
    <row r="118" spans="1:1" x14ac:dyDescent="0.3">
      <c r="A118" t="s">
        <v>1799</v>
      </c>
    </row>
    <row r="119" spans="1:1" x14ac:dyDescent="0.3">
      <c r="A119" t="s">
        <v>1800</v>
      </c>
    </row>
    <row r="120" spans="1:1" x14ac:dyDescent="0.3">
      <c r="A120" t="s">
        <v>1498</v>
      </c>
    </row>
    <row r="121" spans="1:1" x14ac:dyDescent="0.3">
      <c r="A121" t="s">
        <v>324</v>
      </c>
    </row>
    <row r="122" spans="1:1" x14ac:dyDescent="0.3">
      <c r="A122" t="s">
        <v>490</v>
      </c>
    </row>
    <row r="123" spans="1:1" x14ac:dyDescent="0.3">
      <c r="A123" t="s">
        <v>663</v>
      </c>
    </row>
    <row r="124" spans="1:1" x14ac:dyDescent="0.3">
      <c r="A124" t="s">
        <v>1801</v>
      </c>
    </row>
    <row r="125" spans="1:1" x14ac:dyDescent="0.3">
      <c r="A125" t="s">
        <v>992</v>
      </c>
    </row>
    <row r="126" spans="1:1" x14ac:dyDescent="0.3">
      <c r="A126" t="s">
        <v>1802</v>
      </c>
    </row>
    <row r="127" spans="1:1" x14ac:dyDescent="0.3">
      <c r="A127" t="s">
        <v>1332</v>
      </c>
    </row>
    <row r="128" spans="1:1" x14ac:dyDescent="0.3">
      <c r="A128" t="s">
        <v>1504</v>
      </c>
    </row>
    <row r="129" spans="1:1" x14ac:dyDescent="0.3">
      <c r="A129" t="s">
        <v>305</v>
      </c>
    </row>
    <row r="130" spans="1:1" x14ac:dyDescent="0.3">
      <c r="A130" t="s">
        <v>470</v>
      </c>
    </row>
    <row r="131" spans="1:1" x14ac:dyDescent="0.3">
      <c r="A131" t="s">
        <v>643</v>
      </c>
    </row>
    <row r="132" spans="1:1" x14ac:dyDescent="0.3">
      <c r="A132" t="s">
        <v>811</v>
      </c>
    </row>
    <row r="133" spans="1:1" x14ac:dyDescent="0.3">
      <c r="A133" t="s">
        <v>972</v>
      </c>
    </row>
    <row r="134" spans="1:1" x14ac:dyDescent="0.3">
      <c r="A134" t="s">
        <v>1681</v>
      </c>
    </row>
    <row r="135" spans="1:1" x14ac:dyDescent="0.3">
      <c r="A135" t="s">
        <v>1312</v>
      </c>
    </row>
    <row r="136" spans="1:1" x14ac:dyDescent="0.3">
      <c r="A136" t="s">
        <v>1682</v>
      </c>
    </row>
    <row r="137" spans="1:1" x14ac:dyDescent="0.3">
      <c r="A137" t="s">
        <v>310</v>
      </c>
    </row>
    <row r="138" spans="1:1" x14ac:dyDescent="0.3">
      <c r="A138" t="s">
        <v>1683</v>
      </c>
    </row>
    <row r="139" spans="1:1" x14ac:dyDescent="0.3">
      <c r="A139" t="s">
        <v>1684</v>
      </c>
    </row>
    <row r="140" spans="1:1" x14ac:dyDescent="0.3">
      <c r="A140" t="s">
        <v>1685</v>
      </c>
    </row>
    <row r="141" spans="1:1" x14ac:dyDescent="0.3">
      <c r="A141" t="s">
        <v>1686</v>
      </c>
    </row>
    <row r="142" spans="1:1" x14ac:dyDescent="0.3">
      <c r="A142" t="s">
        <v>1687</v>
      </c>
    </row>
    <row r="143" spans="1:1" x14ac:dyDescent="0.3">
      <c r="A143" t="s">
        <v>1318</v>
      </c>
    </row>
    <row r="144" spans="1:1" x14ac:dyDescent="0.3">
      <c r="A144" t="s">
        <v>1688</v>
      </c>
    </row>
    <row r="145" spans="1:1" x14ac:dyDescent="0.3">
      <c r="A145" t="s">
        <v>1689</v>
      </c>
    </row>
    <row r="146" spans="1:1" x14ac:dyDescent="0.3">
      <c r="A146" t="s">
        <v>1690</v>
      </c>
    </row>
    <row r="147" spans="1:1" x14ac:dyDescent="0.3">
      <c r="A147" t="s">
        <v>1691</v>
      </c>
    </row>
    <row r="148" spans="1:1" x14ac:dyDescent="0.3">
      <c r="A148" t="s">
        <v>1692</v>
      </c>
    </row>
    <row r="149" spans="1:1" x14ac:dyDescent="0.3">
      <c r="A149" t="s">
        <v>1693</v>
      </c>
    </row>
    <row r="150" spans="1:1" x14ac:dyDescent="0.3">
      <c r="A150" t="s">
        <v>1694</v>
      </c>
    </row>
    <row r="151" spans="1:1" x14ac:dyDescent="0.3">
      <c r="A151" t="s">
        <v>1695</v>
      </c>
    </row>
    <row r="152" spans="1:1" x14ac:dyDescent="0.3">
      <c r="A152" t="s">
        <v>1696</v>
      </c>
    </row>
    <row r="153" spans="1:1" x14ac:dyDescent="0.3">
      <c r="A153" t="s">
        <v>1697</v>
      </c>
    </row>
    <row r="154" spans="1:1" x14ac:dyDescent="0.3">
      <c r="A154" t="s">
        <v>1698</v>
      </c>
    </row>
    <row r="155" spans="1:1" x14ac:dyDescent="0.3">
      <c r="A155" t="s">
        <v>1699</v>
      </c>
    </row>
    <row r="156" spans="1:1" x14ac:dyDescent="0.3">
      <c r="A156" t="s">
        <v>1700</v>
      </c>
    </row>
    <row r="157" spans="1:1" x14ac:dyDescent="0.3">
      <c r="A157" t="s">
        <v>1701</v>
      </c>
    </row>
    <row r="158" spans="1:1" x14ac:dyDescent="0.3">
      <c r="A158" t="s">
        <v>1702</v>
      </c>
    </row>
    <row r="159" spans="1:1" x14ac:dyDescent="0.3">
      <c r="A159" t="s">
        <v>1703</v>
      </c>
    </row>
    <row r="160" spans="1:1" x14ac:dyDescent="0.3">
      <c r="A160" t="s">
        <v>1704</v>
      </c>
    </row>
    <row r="161" spans="1:1" x14ac:dyDescent="0.3">
      <c r="A161" t="s">
        <v>1769</v>
      </c>
    </row>
    <row r="162" spans="1:1" x14ac:dyDescent="0.3">
      <c r="A162" t="s">
        <v>1770</v>
      </c>
    </row>
    <row r="163" spans="1:1" x14ac:dyDescent="0.3">
      <c r="A163" t="s">
        <v>1771</v>
      </c>
    </row>
    <row r="164" spans="1:1" x14ac:dyDescent="0.3">
      <c r="A164" t="s">
        <v>1772</v>
      </c>
    </row>
    <row r="165" spans="1:1" x14ac:dyDescent="0.3">
      <c r="A165" t="s">
        <v>1773</v>
      </c>
    </row>
    <row r="166" spans="1:1" x14ac:dyDescent="0.3">
      <c r="A166" t="s">
        <v>1774</v>
      </c>
    </row>
    <row r="167" spans="1:1" x14ac:dyDescent="0.3">
      <c r="A167" t="s">
        <v>1775</v>
      </c>
    </row>
    <row r="168" spans="1:1" x14ac:dyDescent="0.3">
      <c r="A168" t="s">
        <v>1776</v>
      </c>
    </row>
    <row r="169" spans="1:1" x14ac:dyDescent="0.3">
      <c r="A169" t="s">
        <v>1777</v>
      </c>
    </row>
    <row r="170" spans="1:1" x14ac:dyDescent="0.3">
      <c r="A170" t="s">
        <v>1778</v>
      </c>
    </row>
    <row r="171" spans="1:1" x14ac:dyDescent="0.3">
      <c r="A171" t="s">
        <v>1779</v>
      </c>
    </row>
    <row r="172" spans="1:1" x14ac:dyDescent="0.3">
      <c r="A172" t="s">
        <v>1780</v>
      </c>
    </row>
    <row r="173" spans="1:1" x14ac:dyDescent="0.3">
      <c r="A173" t="s">
        <v>1781</v>
      </c>
    </row>
    <row r="174" spans="1:1" x14ac:dyDescent="0.3">
      <c r="A174" t="s">
        <v>1782</v>
      </c>
    </row>
    <row r="175" spans="1:1" x14ac:dyDescent="0.3">
      <c r="A175" t="s">
        <v>1783</v>
      </c>
    </row>
    <row r="176" spans="1:1" x14ac:dyDescent="0.3">
      <c r="A176" t="s">
        <v>1784</v>
      </c>
    </row>
    <row r="177" spans="1:1" x14ac:dyDescent="0.3">
      <c r="A177" t="s">
        <v>1785</v>
      </c>
    </row>
    <row r="178" spans="1:1" x14ac:dyDescent="0.3">
      <c r="A178" t="s">
        <v>1786</v>
      </c>
    </row>
    <row r="179" spans="1:1" x14ac:dyDescent="0.3">
      <c r="A179" t="s">
        <v>659</v>
      </c>
    </row>
    <row r="180" spans="1:1" x14ac:dyDescent="0.3">
      <c r="A180" t="s">
        <v>1787</v>
      </c>
    </row>
    <row r="181" spans="1:1" x14ac:dyDescent="0.3">
      <c r="A181" t="s">
        <v>1788</v>
      </c>
    </row>
    <row r="182" spans="1:1" x14ac:dyDescent="0.3">
      <c r="A182" t="s">
        <v>1789</v>
      </c>
    </row>
    <row r="183" spans="1:1" x14ac:dyDescent="0.3">
      <c r="A183" t="s">
        <v>1790</v>
      </c>
    </row>
    <row r="184" spans="1:1" x14ac:dyDescent="0.3">
      <c r="A184" t="s">
        <v>1791</v>
      </c>
    </row>
    <row r="185" spans="1:1" x14ac:dyDescent="0.3">
      <c r="A185" t="s">
        <v>326</v>
      </c>
    </row>
    <row r="186" spans="1:1" x14ac:dyDescent="0.3">
      <c r="A186" t="s">
        <v>492</v>
      </c>
    </row>
    <row r="187" spans="1:1" x14ac:dyDescent="0.3">
      <c r="A187" t="s">
        <v>665</v>
      </c>
    </row>
    <row r="188" spans="1:1" x14ac:dyDescent="0.3">
      <c r="A188" t="s">
        <v>68</v>
      </c>
    </row>
    <row r="189" spans="1:1" x14ac:dyDescent="0.3">
      <c r="A189" t="s">
        <v>1792</v>
      </c>
    </row>
    <row r="190" spans="1:1" x14ac:dyDescent="0.3">
      <c r="A190" t="s">
        <v>1793</v>
      </c>
    </row>
    <row r="191" spans="1:1" x14ac:dyDescent="0.3">
      <c r="A191" t="s">
        <v>1794</v>
      </c>
    </row>
    <row r="192" spans="1:1" x14ac:dyDescent="0.3">
      <c r="A192" t="s">
        <v>1795</v>
      </c>
    </row>
    <row r="193" spans="1:1" x14ac:dyDescent="0.3">
      <c r="A193" t="s">
        <v>1859</v>
      </c>
    </row>
    <row r="194" spans="1:1" x14ac:dyDescent="0.3">
      <c r="A194" t="s">
        <v>1860</v>
      </c>
    </row>
    <row r="195" spans="1:1" x14ac:dyDescent="0.3">
      <c r="A195" t="s">
        <v>1861</v>
      </c>
    </row>
    <row r="196" spans="1:1" x14ac:dyDescent="0.3">
      <c r="A196" t="s">
        <v>1862</v>
      </c>
    </row>
    <row r="197" spans="1:1" x14ac:dyDescent="0.3">
      <c r="A197" t="s">
        <v>1863</v>
      </c>
    </row>
    <row r="198" spans="1:1" x14ac:dyDescent="0.3">
      <c r="A198" t="s">
        <v>1864</v>
      </c>
    </row>
    <row r="199" spans="1:1" x14ac:dyDescent="0.3">
      <c r="A199" t="s">
        <v>1865</v>
      </c>
    </row>
    <row r="200" spans="1:1" x14ac:dyDescent="0.3">
      <c r="A200" t="s">
        <v>1866</v>
      </c>
    </row>
    <row r="201" spans="1:1" x14ac:dyDescent="0.3">
      <c r="A201" t="s">
        <v>1867</v>
      </c>
    </row>
    <row r="202" spans="1:1" x14ac:dyDescent="0.3">
      <c r="A202" t="s">
        <v>1868</v>
      </c>
    </row>
    <row r="203" spans="1:1" x14ac:dyDescent="0.3">
      <c r="A203" t="s">
        <v>1869</v>
      </c>
    </row>
    <row r="204" spans="1:1" x14ac:dyDescent="0.3">
      <c r="A204" t="s">
        <v>1870</v>
      </c>
    </row>
    <row r="205" spans="1:1" x14ac:dyDescent="0.3">
      <c r="A205" t="s">
        <v>1871</v>
      </c>
    </row>
    <row r="206" spans="1:1" x14ac:dyDescent="0.3">
      <c r="A206" t="s">
        <v>1872</v>
      </c>
    </row>
    <row r="207" spans="1:1" x14ac:dyDescent="0.3">
      <c r="A207" t="s">
        <v>1873</v>
      </c>
    </row>
    <row r="208" spans="1:1" x14ac:dyDescent="0.3">
      <c r="A208" t="s">
        <v>1874</v>
      </c>
    </row>
    <row r="209" spans="1:1" x14ac:dyDescent="0.3">
      <c r="A209" t="s">
        <v>1875</v>
      </c>
    </row>
    <row r="210" spans="1:1" x14ac:dyDescent="0.3">
      <c r="A210" t="s">
        <v>1876</v>
      </c>
    </row>
    <row r="211" spans="1:1" x14ac:dyDescent="0.3">
      <c r="A211" t="s">
        <v>1877</v>
      </c>
    </row>
    <row r="212" spans="1:1" x14ac:dyDescent="0.3">
      <c r="A212" t="s">
        <v>1878</v>
      </c>
    </row>
    <row r="213" spans="1:1" x14ac:dyDescent="0.3">
      <c r="A213" t="s">
        <v>1879</v>
      </c>
    </row>
    <row r="214" spans="1:1" x14ac:dyDescent="0.3">
      <c r="A214" t="s">
        <v>1880</v>
      </c>
    </row>
    <row r="215" spans="1:1" x14ac:dyDescent="0.3">
      <c r="A215" t="s">
        <v>1881</v>
      </c>
    </row>
    <row r="216" spans="1:1" x14ac:dyDescent="0.3">
      <c r="A216" t="s">
        <v>1882</v>
      </c>
    </row>
    <row r="217" spans="1:1" x14ac:dyDescent="0.3">
      <c r="A217" t="s">
        <v>1883</v>
      </c>
    </row>
    <row r="218" spans="1:1" x14ac:dyDescent="0.3">
      <c r="A218" t="s">
        <v>1884</v>
      </c>
    </row>
    <row r="219" spans="1:1" x14ac:dyDescent="0.3">
      <c r="A219" t="s">
        <v>1885</v>
      </c>
    </row>
    <row r="220" spans="1:1" x14ac:dyDescent="0.3">
      <c r="A220" t="s">
        <v>1886</v>
      </c>
    </row>
    <row r="221" spans="1:1" x14ac:dyDescent="0.3">
      <c r="A221" t="s">
        <v>1887</v>
      </c>
    </row>
    <row r="222" spans="1:1" x14ac:dyDescent="0.3">
      <c r="A222" t="s">
        <v>1888</v>
      </c>
    </row>
    <row r="223" spans="1:1" x14ac:dyDescent="0.3">
      <c r="A223" t="s">
        <v>1889</v>
      </c>
    </row>
    <row r="224" spans="1:1" x14ac:dyDescent="0.3">
      <c r="A224" t="s">
        <v>1890</v>
      </c>
    </row>
    <row r="225" spans="1:1" x14ac:dyDescent="0.3">
      <c r="A225" t="s">
        <v>329</v>
      </c>
    </row>
    <row r="226" spans="1:1" x14ac:dyDescent="0.3">
      <c r="A226" t="s">
        <v>1803</v>
      </c>
    </row>
    <row r="227" spans="1:1" x14ac:dyDescent="0.3">
      <c r="A227" t="s">
        <v>668</v>
      </c>
    </row>
    <row r="228" spans="1:1" x14ac:dyDescent="0.3">
      <c r="A228" t="s">
        <v>1804</v>
      </c>
    </row>
    <row r="229" spans="1:1" x14ac:dyDescent="0.3">
      <c r="A229" t="s">
        <v>997</v>
      </c>
    </row>
    <row r="230" spans="1:1" x14ac:dyDescent="0.3">
      <c r="A230" t="s">
        <v>1166</v>
      </c>
    </row>
    <row r="231" spans="1:1" x14ac:dyDescent="0.3">
      <c r="A231" t="s">
        <v>1805</v>
      </c>
    </row>
    <row r="232" spans="1:1" x14ac:dyDescent="0.3">
      <c r="A232" t="s">
        <v>1509</v>
      </c>
    </row>
    <row r="233" spans="1:1" x14ac:dyDescent="0.3">
      <c r="A233" t="s">
        <v>1806</v>
      </c>
    </row>
    <row r="234" spans="1:1" x14ac:dyDescent="0.3">
      <c r="A234" t="s">
        <v>1807</v>
      </c>
    </row>
    <row r="235" spans="1:1" x14ac:dyDescent="0.3">
      <c r="A235" t="s">
        <v>1808</v>
      </c>
    </row>
    <row r="236" spans="1:1" x14ac:dyDescent="0.3">
      <c r="A236" t="s">
        <v>1809</v>
      </c>
    </row>
    <row r="237" spans="1:1" x14ac:dyDescent="0.3">
      <c r="A237" t="s">
        <v>1810</v>
      </c>
    </row>
    <row r="238" spans="1:1" x14ac:dyDescent="0.3">
      <c r="A238" t="s">
        <v>1811</v>
      </c>
    </row>
    <row r="239" spans="1:1" x14ac:dyDescent="0.3">
      <c r="A239" t="s">
        <v>1812</v>
      </c>
    </row>
    <row r="240" spans="1:1" x14ac:dyDescent="0.3">
      <c r="A240" t="s">
        <v>1813</v>
      </c>
    </row>
    <row r="241" spans="1:1" x14ac:dyDescent="0.3">
      <c r="A241" t="s">
        <v>1814</v>
      </c>
    </row>
    <row r="242" spans="1:1" x14ac:dyDescent="0.3">
      <c r="A242" t="s">
        <v>1815</v>
      </c>
    </row>
    <row r="243" spans="1:1" x14ac:dyDescent="0.3">
      <c r="A243" t="s">
        <v>1816</v>
      </c>
    </row>
    <row r="244" spans="1:1" x14ac:dyDescent="0.3">
      <c r="A244" t="s">
        <v>1817</v>
      </c>
    </row>
    <row r="245" spans="1:1" x14ac:dyDescent="0.3">
      <c r="A245" t="s">
        <v>1818</v>
      </c>
    </row>
    <row r="246" spans="1:1" x14ac:dyDescent="0.3">
      <c r="A246" t="s">
        <v>1819</v>
      </c>
    </row>
    <row r="247" spans="1:1" x14ac:dyDescent="0.3">
      <c r="A247" t="s">
        <v>1820</v>
      </c>
    </row>
    <row r="248" spans="1:1" x14ac:dyDescent="0.3">
      <c r="A248" t="s">
        <v>1821</v>
      </c>
    </row>
    <row r="249" spans="1:1" x14ac:dyDescent="0.3">
      <c r="A249" t="s">
        <v>1822</v>
      </c>
    </row>
    <row r="250" spans="1:1" x14ac:dyDescent="0.3">
      <c r="A250" t="s">
        <v>1823</v>
      </c>
    </row>
    <row r="251" spans="1:1" x14ac:dyDescent="0.3">
      <c r="A251" t="s">
        <v>1824</v>
      </c>
    </row>
    <row r="252" spans="1:1" x14ac:dyDescent="0.3">
      <c r="A252" t="s">
        <v>1825</v>
      </c>
    </row>
    <row r="253" spans="1:1" x14ac:dyDescent="0.3">
      <c r="A253" t="s">
        <v>1826</v>
      </c>
    </row>
    <row r="254" spans="1:1" x14ac:dyDescent="0.3">
      <c r="A254" t="s">
        <v>1827</v>
      </c>
    </row>
    <row r="255" spans="1:1" x14ac:dyDescent="0.3">
      <c r="A255" t="s">
        <v>1828</v>
      </c>
    </row>
    <row r="256" spans="1:1" x14ac:dyDescent="0.3">
      <c r="A256" t="s">
        <v>1829</v>
      </c>
    </row>
    <row r="257" spans="1:1" x14ac:dyDescent="0.3">
      <c r="A257" t="s">
        <v>1891</v>
      </c>
    </row>
    <row r="258" spans="1:1" x14ac:dyDescent="0.3">
      <c r="A258" t="s">
        <v>1892</v>
      </c>
    </row>
    <row r="259" spans="1:1" x14ac:dyDescent="0.3">
      <c r="A259" t="s">
        <v>1893</v>
      </c>
    </row>
    <row r="260" spans="1:1" x14ac:dyDescent="0.3">
      <c r="A260" t="s">
        <v>1894</v>
      </c>
    </row>
    <row r="261" spans="1:1" x14ac:dyDescent="0.3">
      <c r="A261" t="s">
        <v>1895</v>
      </c>
    </row>
    <row r="262" spans="1:1" x14ac:dyDescent="0.3">
      <c r="A262" t="s">
        <v>1896</v>
      </c>
    </row>
    <row r="263" spans="1:1" x14ac:dyDescent="0.3">
      <c r="A263" t="s">
        <v>1897</v>
      </c>
    </row>
    <row r="264" spans="1:1" x14ac:dyDescent="0.3">
      <c r="A264" t="s">
        <v>1898</v>
      </c>
    </row>
    <row r="265" spans="1:1" x14ac:dyDescent="0.3">
      <c r="A265" t="s">
        <v>1899</v>
      </c>
    </row>
    <row r="266" spans="1:1" x14ac:dyDescent="0.3">
      <c r="A266" t="s">
        <v>1900</v>
      </c>
    </row>
    <row r="267" spans="1:1" x14ac:dyDescent="0.3">
      <c r="A267" t="s">
        <v>1901</v>
      </c>
    </row>
    <row r="268" spans="1:1" x14ac:dyDescent="0.3">
      <c r="A268" t="s">
        <v>1902</v>
      </c>
    </row>
    <row r="269" spans="1:1" x14ac:dyDescent="0.3">
      <c r="A269" t="s">
        <v>1903</v>
      </c>
    </row>
    <row r="270" spans="1:1" x14ac:dyDescent="0.3">
      <c r="A270" t="s">
        <v>1904</v>
      </c>
    </row>
    <row r="271" spans="1:1" x14ac:dyDescent="0.3">
      <c r="A271" t="s">
        <v>1905</v>
      </c>
    </row>
    <row r="272" spans="1:1" x14ac:dyDescent="0.3">
      <c r="A272" t="s">
        <v>1906</v>
      </c>
    </row>
    <row r="273" spans="1:1" x14ac:dyDescent="0.3">
      <c r="A273" t="s">
        <v>1907</v>
      </c>
    </row>
    <row r="274" spans="1:1" x14ac:dyDescent="0.3">
      <c r="A274" t="s">
        <v>1908</v>
      </c>
    </row>
    <row r="275" spans="1:1" x14ac:dyDescent="0.3">
      <c r="A275" t="s">
        <v>1909</v>
      </c>
    </row>
    <row r="276" spans="1:1" x14ac:dyDescent="0.3">
      <c r="A276" t="s">
        <v>1910</v>
      </c>
    </row>
    <row r="277" spans="1:1" x14ac:dyDescent="0.3">
      <c r="A277" t="s">
        <v>1911</v>
      </c>
    </row>
    <row r="278" spans="1:1" x14ac:dyDescent="0.3">
      <c r="A278" t="s">
        <v>1912</v>
      </c>
    </row>
    <row r="279" spans="1:1" x14ac:dyDescent="0.3">
      <c r="A279" t="s">
        <v>1913</v>
      </c>
    </row>
    <row r="280" spans="1:1" x14ac:dyDescent="0.3">
      <c r="A280" t="s">
        <v>1914</v>
      </c>
    </row>
    <row r="281" spans="1:1" x14ac:dyDescent="0.3">
      <c r="A281" t="s">
        <v>1915</v>
      </c>
    </row>
    <row r="282" spans="1:1" x14ac:dyDescent="0.3">
      <c r="A282" t="s">
        <v>1916</v>
      </c>
    </row>
    <row r="283" spans="1:1" x14ac:dyDescent="0.3">
      <c r="A283" t="s">
        <v>1917</v>
      </c>
    </row>
    <row r="284" spans="1:1" x14ac:dyDescent="0.3">
      <c r="A284" t="s">
        <v>1918</v>
      </c>
    </row>
    <row r="285" spans="1:1" x14ac:dyDescent="0.3">
      <c r="A285" t="s">
        <v>1919</v>
      </c>
    </row>
    <row r="286" spans="1:1" x14ac:dyDescent="0.3">
      <c r="A286" t="s">
        <v>1920</v>
      </c>
    </row>
    <row r="287" spans="1:1" x14ac:dyDescent="0.3">
      <c r="A287" t="s">
        <v>1921</v>
      </c>
    </row>
    <row r="288" spans="1:1" x14ac:dyDescent="0.3">
      <c r="A288" t="s">
        <v>1767</v>
      </c>
    </row>
    <row r="289" spans="1:1" x14ac:dyDescent="0.3">
      <c r="A289" t="s">
        <v>330</v>
      </c>
    </row>
    <row r="290" spans="1:1" x14ac:dyDescent="0.3">
      <c r="A290" t="s">
        <v>496</v>
      </c>
    </row>
    <row r="291" spans="1:1" x14ac:dyDescent="0.3">
      <c r="A291" t="s">
        <v>669</v>
      </c>
    </row>
    <row r="292" spans="1:1" x14ac:dyDescent="0.3">
      <c r="A292" t="s">
        <v>833</v>
      </c>
    </row>
    <row r="293" spans="1:1" x14ac:dyDescent="0.3">
      <c r="A293" t="s">
        <v>998</v>
      </c>
    </row>
    <row r="294" spans="1:1" x14ac:dyDescent="0.3">
      <c r="A294" t="s">
        <v>1167</v>
      </c>
    </row>
    <row r="295" spans="1:1" x14ac:dyDescent="0.3">
      <c r="A295" t="s">
        <v>1338</v>
      </c>
    </row>
    <row r="296" spans="1:1" x14ac:dyDescent="0.3">
      <c r="A296" t="s">
        <v>1510</v>
      </c>
    </row>
    <row r="297" spans="1:1" x14ac:dyDescent="0.3">
      <c r="A297" t="s">
        <v>336</v>
      </c>
    </row>
    <row r="298" spans="1:1" x14ac:dyDescent="0.3">
      <c r="A298" t="s">
        <v>502</v>
      </c>
    </row>
    <row r="299" spans="1:1" x14ac:dyDescent="0.3">
      <c r="A299" t="s">
        <v>675</v>
      </c>
    </row>
    <row r="300" spans="1:1" x14ac:dyDescent="0.3">
      <c r="A300" t="s">
        <v>839</v>
      </c>
    </row>
    <row r="301" spans="1:1" x14ac:dyDescent="0.3">
      <c r="A301" t="s">
        <v>1004</v>
      </c>
    </row>
    <row r="302" spans="1:1" x14ac:dyDescent="0.3">
      <c r="A302" t="s">
        <v>1173</v>
      </c>
    </row>
    <row r="303" spans="1:1" x14ac:dyDescent="0.3">
      <c r="A303" t="s">
        <v>1344</v>
      </c>
    </row>
    <row r="304" spans="1:1" x14ac:dyDescent="0.3">
      <c r="A304" t="s">
        <v>1948</v>
      </c>
    </row>
    <row r="305" spans="1:1" x14ac:dyDescent="0.3">
      <c r="A305" t="s">
        <v>342</v>
      </c>
    </row>
    <row r="306" spans="1:1" x14ac:dyDescent="0.3">
      <c r="A306" t="s">
        <v>1949</v>
      </c>
    </row>
    <row r="307" spans="1:1" x14ac:dyDescent="0.3">
      <c r="A307" t="s">
        <v>681</v>
      </c>
    </row>
    <row r="308" spans="1:1" x14ac:dyDescent="0.3">
      <c r="A308" t="s">
        <v>843</v>
      </c>
    </row>
    <row r="309" spans="1:1" x14ac:dyDescent="0.3">
      <c r="A309" t="s">
        <v>1950</v>
      </c>
    </row>
    <row r="310" spans="1:1" x14ac:dyDescent="0.3">
      <c r="A310" t="s">
        <v>1951</v>
      </c>
    </row>
    <row r="311" spans="1:1" x14ac:dyDescent="0.3">
      <c r="A311" t="s">
        <v>1350</v>
      </c>
    </row>
    <row r="312" spans="1:1" x14ac:dyDescent="0.3">
      <c r="A312" t="s">
        <v>1952</v>
      </c>
    </row>
    <row r="313" spans="1:1" x14ac:dyDescent="0.3">
      <c r="A313" t="s">
        <v>1953</v>
      </c>
    </row>
    <row r="314" spans="1:1" x14ac:dyDescent="0.3">
      <c r="A314" t="s">
        <v>514</v>
      </c>
    </row>
    <row r="315" spans="1:1" x14ac:dyDescent="0.3">
      <c r="A315" t="s">
        <v>1954</v>
      </c>
    </row>
    <row r="316" spans="1:1" x14ac:dyDescent="0.3">
      <c r="A316" t="s">
        <v>848</v>
      </c>
    </row>
    <row r="317" spans="1:1" x14ac:dyDescent="0.3">
      <c r="A317" t="s">
        <v>1955</v>
      </c>
    </row>
    <row r="318" spans="1:1" x14ac:dyDescent="0.3">
      <c r="A318" t="s">
        <v>1956</v>
      </c>
    </row>
    <row r="319" spans="1:1" x14ac:dyDescent="0.3">
      <c r="A319" t="s">
        <v>1356</v>
      </c>
    </row>
    <row r="320" spans="1:1" x14ac:dyDescent="0.3">
      <c r="A320" t="s">
        <v>1957</v>
      </c>
    </row>
    <row r="321" spans="1:1" x14ac:dyDescent="0.3">
      <c r="A321" t="s">
        <v>1830</v>
      </c>
    </row>
    <row r="322" spans="1:1" x14ac:dyDescent="0.3">
      <c r="A322" t="s">
        <v>494</v>
      </c>
    </row>
    <row r="323" spans="1:1" x14ac:dyDescent="0.3">
      <c r="A323" t="s">
        <v>1831</v>
      </c>
    </row>
    <row r="324" spans="1:1" x14ac:dyDescent="0.3">
      <c r="A324" t="s">
        <v>831</v>
      </c>
    </row>
    <row r="325" spans="1:1" x14ac:dyDescent="0.3">
      <c r="A325" t="s">
        <v>1832</v>
      </c>
    </row>
    <row r="326" spans="1:1" x14ac:dyDescent="0.3">
      <c r="A326" t="s">
        <v>1833</v>
      </c>
    </row>
    <row r="327" spans="1:1" x14ac:dyDescent="0.3">
      <c r="A327" t="s">
        <v>1834</v>
      </c>
    </row>
    <row r="328" spans="1:1" x14ac:dyDescent="0.3">
      <c r="A328" t="s">
        <v>1508</v>
      </c>
    </row>
    <row r="329" spans="1:1" x14ac:dyDescent="0.3">
      <c r="A329" t="s">
        <v>1835</v>
      </c>
    </row>
    <row r="330" spans="1:1" x14ac:dyDescent="0.3">
      <c r="A330" t="s">
        <v>1836</v>
      </c>
    </row>
    <row r="331" spans="1:1" x14ac:dyDescent="0.3">
      <c r="A331" t="s">
        <v>1837</v>
      </c>
    </row>
    <row r="332" spans="1:1" x14ac:dyDescent="0.3">
      <c r="A332" t="s">
        <v>1838</v>
      </c>
    </row>
    <row r="333" spans="1:1" x14ac:dyDescent="0.3">
      <c r="A333" t="s">
        <v>1839</v>
      </c>
    </row>
    <row r="334" spans="1:1" x14ac:dyDescent="0.3">
      <c r="A334" t="s">
        <v>1840</v>
      </c>
    </row>
    <row r="335" spans="1:1" x14ac:dyDescent="0.3">
      <c r="A335" t="s">
        <v>1841</v>
      </c>
    </row>
    <row r="336" spans="1:1" x14ac:dyDescent="0.3">
      <c r="A336" t="s">
        <v>1842</v>
      </c>
    </row>
    <row r="337" spans="1:1" x14ac:dyDescent="0.3">
      <c r="A337" t="s">
        <v>1843</v>
      </c>
    </row>
    <row r="338" spans="1:1" x14ac:dyDescent="0.3">
      <c r="A338" t="s">
        <v>1844</v>
      </c>
    </row>
    <row r="339" spans="1:1" x14ac:dyDescent="0.3">
      <c r="A339" t="s">
        <v>1845</v>
      </c>
    </row>
    <row r="340" spans="1:1" x14ac:dyDescent="0.3">
      <c r="A340" t="s">
        <v>1846</v>
      </c>
    </row>
    <row r="341" spans="1:1" x14ac:dyDescent="0.3">
      <c r="A341" t="s">
        <v>1847</v>
      </c>
    </row>
    <row r="342" spans="1:1" x14ac:dyDescent="0.3">
      <c r="A342" t="s">
        <v>1848</v>
      </c>
    </row>
    <row r="343" spans="1:1" x14ac:dyDescent="0.3">
      <c r="A343" t="s">
        <v>1849</v>
      </c>
    </row>
    <row r="344" spans="1:1" x14ac:dyDescent="0.3">
      <c r="A344" t="s">
        <v>1850</v>
      </c>
    </row>
    <row r="345" spans="1:1" x14ac:dyDescent="0.3">
      <c r="A345" t="s">
        <v>1851</v>
      </c>
    </row>
    <row r="346" spans="1:1" x14ac:dyDescent="0.3">
      <c r="A346" t="s">
        <v>1852</v>
      </c>
    </row>
    <row r="347" spans="1:1" x14ac:dyDescent="0.3">
      <c r="A347" t="s">
        <v>1853</v>
      </c>
    </row>
    <row r="348" spans="1:1" x14ac:dyDescent="0.3">
      <c r="A348" t="s">
        <v>1854</v>
      </c>
    </row>
    <row r="349" spans="1:1" x14ac:dyDescent="0.3">
      <c r="A349" t="s">
        <v>1855</v>
      </c>
    </row>
    <row r="350" spans="1:1" x14ac:dyDescent="0.3">
      <c r="A350" t="s">
        <v>1856</v>
      </c>
    </row>
    <row r="351" spans="1:1" x14ac:dyDescent="0.3">
      <c r="A351" t="s">
        <v>1857</v>
      </c>
    </row>
    <row r="352" spans="1:1" x14ac:dyDescent="0.3">
      <c r="A352" t="s">
        <v>1858</v>
      </c>
    </row>
    <row r="353" spans="1:1" x14ac:dyDescent="0.3">
      <c r="A353" t="s">
        <v>1922</v>
      </c>
    </row>
    <row r="354" spans="1:1" x14ac:dyDescent="0.3">
      <c r="A354" t="s">
        <v>1923</v>
      </c>
    </row>
    <row r="355" spans="1:1" x14ac:dyDescent="0.3">
      <c r="A355" t="s">
        <v>1924</v>
      </c>
    </row>
    <row r="356" spans="1:1" x14ac:dyDescent="0.3">
      <c r="A356" t="s">
        <v>1925</v>
      </c>
    </row>
    <row r="357" spans="1:1" x14ac:dyDescent="0.3">
      <c r="A357" t="s">
        <v>1000</v>
      </c>
    </row>
    <row r="358" spans="1:1" x14ac:dyDescent="0.3">
      <c r="A358" t="s">
        <v>1926</v>
      </c>
    </row>
    <row r="359" spans="1:1" x14ac:dyDescent="0.3">
      <c r="A359" t="s">
        <v>1927</v>
      </c>
    </row>
    <row r="360" spans="1:1" x14ac:dyDescent="0.3">
      <c r="A360" t="s">
        <v>1512</v>
      </c>
    </row>
    <row r="361" spans="1:1" x14ac:dyDescent="0.3">
      <c r="A361" t="s">
        <v>1928</v>
      </c>
    </row>
    <row r="362" spans="1:1" x14ac:dyDescent="0.3">
      <c r="A362" t="s">
        <v>1929</v>
      </c>
    </row>
    <row r="363" spans="1:1" x14ac:dyDescent="0.3">
      <c r="A363" t="s">
        <v>1930</v>
      </c>
    </row>
    <row r="364" spans="1:1" x14ac:dyDescent="0.3">
      <c r="A364" t="s">
        <v>1931</v>
      </c>
    </row>
    <row r="365" spans="1:1" x14ac:dyDescent="0.3">
      <c r="A365" t="s">
        <v>1006</v>
      </c>
    </row>
    <row r="366" spans="1:1" x14ac:dyDescent="0.3">
      <c r="A366" t="s">
        <v>1932</v>
      </c>
    </row>
    <row r="367" spans="1:1" x14ac:dyDescent="0.3">
      <c r="A367" t="s">
        <v>1933</v>
      </c>
    </row>
    <row r="368" spans="1:1" x14ac:dyDescent="0.3">
      <c r="A368" t="s">
        <v>1934</v>
      </c>
    </row>
    <row r="369" spans="1:1" x14ac:dyDescent="0.3">
      <c r="A369" t="s">
        <v>1935</v>
      </c>
    </row>
    <row r="370" spans="1:1" x14ac:dyDescent="0.3">
      <c r="A370" t="s">
        <v>1936</v>
      </c>
    </row>
    <row r="371" spans="1:1" x14ac:dyDescent="0.3">
      <c r="A371" t="s">
        <v>1937</v>
      </c>
    </row>
    <row r="372" spans="1:1" x14ac:dyDescent="0.3">
      <c r="A372" t="s">
        <v>1938</v>
      </c>
    </row>
    <row r="373" spans="1:1" x14ac:dyDescent="0.3">
      <c r="A373" t="s">
        <v>1012</v>
      </c>
    </row>
    <row r="374" spans="1:1" x14ac:dyDescent="0.3">
      <c r="A374" t="s">
        <v>1939</v>
      </c>
    </row>
    <row r="375" spans="1:1" x14ac:dyDescent="0.3">
      <c r="A375" t="s">
        <v>1940</v>
      </c>
    </row>
    <row r="376" spans="1:1" x14ac:dyDescent="0.3">
      <c r="A376" t="s">
        <v>1941</v>
      </c>
    </row>
    <row r="377" spans="1:1" x14ac:dyDescent="0.3">
      <c r="A377" t="s">
        <v>1942</v>
      </c>
    </row>
    <row r="378" spans="1:1" x14ac:dyDescent="0.3">
      <c r="A378" t="s">
        <v>1943</v>
      </c>
    </row>
    <row r="379" spans="1:1" x14ac:dyDescent="0.3">
      <c r="A379" t="s">
        <v>689</v>
      </c>
    </row>
    <row r="380" spans="1:1" x14ac:dyDescent="0.3">
      <c r="A380" t="s">
        <v>1944</v>
      </c>
    </row>
    <row r="381" spans="1:1" x14ac:dyDescent="0.3">
      <c r="A381" t="s">
        <v>1017</v>
      </c>
    </row>
    <row r="382" spans="1:1" x14ac:dyDescent="0.3">
      <c r="A382" t="s">
        <v>1945</v>
      </c>
    </row>
    <row r="383" spans="1:1" x14ac:dyDescent="0.3">
      <c r="A383" t="s">
        <v>1946</v>
      </c>
    </row>
    <row r="384" spans="1:1" x14ac:dyDescent="0.3">
      <c r="A384" t="s">
        <v>1947</v>
      </c>
    </row>
    <row r="385" spans="1:1" x14ac:dyDescent="0.3">
      <c r="A385" t="s">
        <v>2002</v>
      </c>
    </row>
    <row r="386" spans="1:1" x14ac:dyDescent="0.3">
      <c r="A386" t="s">
        <v>2003</v>
      </c>
    </row>
    <row r="387" spans="1:1" x14ac:dyDescent="0.3">
      <c r="A387" t="s">
        <v>2004</v>
      </c>
    </row>
    <row r="388" spans="1:1" x14ac:dyDescent="0.3">
      <c r="A388" t="s">
        <v>2005</v>
      </c>
    </row>
    <row r="389" spans="1:1" x14ac:dyDescent="0.3">
      <c r="A389" t="s">
        <v>2006</v>
      </c>
    </row>
    <row r="390" spans="1:1" x14ac:dyDescent="0.3">
      <c r="A390" t="s">
        <v>2007</v>
      </c>
    </row>
    <row r="391" spans="1:1" x14ac:dyDescent="0.3">
      <c r="A391" t="s">
        <v>2008</v>
      </c>
    </row>
    <row r="392" spans="1:1" x14ac:dyDescent="0.3">
      <c r="A392" t="s">
        <v>2009</v>
      </c>
    </row>
    <row r="393" spans="1:1" x14ac:dyDescent="0.3">
      <c r="A393" t="s">
        <v>2010</v>
      </c>
    </row>
    <row r="394" spans="1:1" x14ac:dyDescent="0.3">
      <c r="A394" t="s">
        <v>2011</v>
      </c>
    </row>
    <row r="395" spans="1:1" x14ac:dyDescent="0.3">
      <c r="A395" t="s">
        <v>2012</v>
      </c>
    </row>
    <row r="396" spans="1:1" x14ac:dyDescent="0.3">
      <c r="A396" t="s">
        <v>2013</v>
      </c>
    </row>
    <row r="397" spans="1:1" x14ac:dyDescent="0.3">
      <c r="A397" t="s">
        <v>2014</v>
      </c>
    </row>
    <row r="398" spans="1:1" x14ac:dyDescent="0.3">
      <c r="A398" t="s">
        <v>2015</v>
      </c>
    </row>
    <row r="399" spans="1:1" x14ac:dyDescent="0.3">
      <c r="A399" t="s">
        <v>2016</v>
      </c>
    </row>
    <row r="400" spans="1:1" x14ac:dyDescent="0.3">
      <c r="A400" t="s">
        <v>2017</v>
      </c>
    </row>
    <row r="401" spans="1:1" x14ac:dyDescent="0.3">
      <c r="A401" t="s">
        <v>2018</v>
      </c>
    </row>
    <row r="402" spans="1:1" x14ac:dyDescent="0.3">
      <c r="A402" t="s">
        <v>2019</v>
      </c>
    </row>
    <row r="403" spans="1:1" x14ac:dyDescent="0.3">
      <c r="A403" t="s">
        <v>2020</v>
      </c>
    </row>
    <row r="404" spans="1:1" x14ac:dyDescent="0.3">
      <c r="A404" t="s">
        <v>2021</v>
      </c>
    </row>
    <row r="405" spans="1:1" x14ac:dyDescent="0.3">
      <c r="A405" t="s">
        <v>2022</v>
      </c>
    </row>
    <row r="406" spans="1:1" x14ac:dyDescent="0.3">
      <c r="A406" t="s">
        <v>2023</v>
      </c>
    </row>
    <row r="407" spans="1:1" x14ac:dyDescent="0.3">
      <c r="A407" t="s">
        <v>2024</v>
      </c>
    </row>
    <row r="408" spans="1:1" x14ac:dyDescent="0.3">
      <c r="A408" t="s">
        <v>2025</v>
      </c>
    </row>
    <row r="409" spans="1:1" x14ac:dyDescent="0.3">
      <c r="A409" t="s">
        <v>2026</v>
      </c>
    </row>
    <row r="410" spans="1:1" x14ac:dyDescent="0.3">
      <c r="A410" t="s">
        <v>2027</v>
      </c>
    </row>
    <row r="411" spans="1:1" x14ac:dyDescent="0.3">
      <c r="A411" t="s">
        <v>2028</v>
      </c>
    </row>
    <row r="412" spans="1:1" x14ac:dyDescent="0.3">
      <c r="A412" t="s">
        <v>2029</v>
      </c>
    </row>
    <row r="413" spans="1:1" x14ac:dyDescent="0.3">
      <c r="A413" t="s">
        <v>2030</v>
      </c>
    </row>
    <row r="414" spans="1:1" x14ac:dyDescent="0.3">
      <c r="A414" t="s">
        <v>2031</v>
      </c>
    </row>
    <row r="415" spans="1:1" x14ac:dyDescent="0.3">
      <c r="A415" t="s">
        <v>2032</v>
      </c>
    </row>
    <row r="416" spans="1:1" x14ac:dyDescent="0.3">
      <c r="A416" t="s">
        <v>2033</v>
      </c>
    </row>
    <row r="417" spans="1:1" x14ac:dyDescent="0.3">
      <c r="A417" t="s">
        <v>78</v>
      </c>
    </row>
    <row r="418" spans="1:1" x14ac:dyDescent="0.3">
      <c r="A418" t="s">
        <v>518</v>
      </c>
    </row>
    <row r="419" spans="1:1" x14ac:dyDescent="0.3">
      <c r="A419" t="s">
        <v>691</v>
      </c>
    </row>
    <row r="420" spans="1:1" x14ac:dyDescent="0.3">
      <c r="A420" t="s">
        <v>852</v>
      </c>
    </row>
    <row r="421" spans="1:1" x14ac:dyDescent="0.3">
      <c r="A421" t="s">
        <v>1019</v>
      </c>
    </row>
    <row r="422" spans="1:1" x14ac:dyDescent="0.3">
      <c r="A422" t="s">
        <v>1189</v>
      </c>
    </row>
    <row r="423" spans="1:1" x14ac:dyDescent="0.3">
      <c r="A423" t="s">
        <v>1360</v>
      </c>
    </row>
    <row r="424" spans="1:1" x14ac:dyDescent="0.3">
      <c r="A424" t="s">
        <v>1531</v>
      </c>
    </row>
    <row r="425" spans="1:1" x14ac:dyDescent="0.3">
      <c r="A425" t="s">
        <v>356</v>
      </c>
    </row>
    <row r="426" spans="1:1" x14ac:dyDescent="0.3">
      <c r="A426" t="s">
        <v>525</v>
      </c>
    </row>
    <row r="427" spans="1:1" x14ac:dyDescent="0.3">
      <c r="A427" t="s">
        <v>698</v>
      </c>
    </row>
    <row r="428" spans="1:1" x14ac:dyDescent="0.3">
      <c r="A428" t="s">
        <v>859</v>
      </c>
    </row>
    <row r="429" spans="1:1" x14ac:dyDescent="0.3">
      <c r="A429" t="s">
        <v>1026</v>
      </c>
    </row>
    <row r="430" spans="1:1" x14ac:dyDescent="0.3">
      <c r="A430" t="s">
        <v>1196</v>
      </c>
    </row>
    <row r="431" spans="1:1" x14ac:dyDescent="0.3">
      <c r="A431" t="s">
        <v>1367</v>
      </c>
    </row>
    <row r="432" spans="1:1" x14ac:dyDescent="0.3">
      <c r="A432" t="s">
        <v>1538</v>
      </c>
    </row>
    <row r="433" spans="1:1" x14ac:dyDescent="0.3">
      <c r="A433" t="s">
        <v>1958</v>
      </c>
    </row>
    <row r="434" spans="1:1" x14ac:dyDescent="0.3">
      <c r="A434" t="s">
        <v>1959</v>
      </c>
    </row>
    <row r="435" spans="1:1" x14ac:dyDescent="0.3">
      <c r="A435" t="s">
        <v>1960</v>
      </c>
    </row>
    <row r="436" spans="1:1" x14ac:dyDescent="0.3">
      <c r="A436" t="s">
        <v>1961</v>
      </c>
    </row>
    <row r="437" spans="1:1" x14ac:dyDescent="0.3">
      <c r="A437" t="s">
        <v>1962</v>
      </c>
    </row>
    <row r="438" spans="1:1" x14ac:dyDescent="0.3">
      <c r="A438" t="s">
        <v>1963</v>
      </c>
    </row>
    <row r="439" spans="1:1" x14ac:dyDescent="0.3">
      <c r="A439" t="s">
        <v>1964</v>
      </c>
    </row>
    <row r="440" spans="1:1" x14ac:dyDescent="0.3">
      <c r="A440" t="s">
        <v>1965</v>
      </c>
    </row>
    <row r="441" spans="1:1" x14ac:dyDescent="0.3">
      <c r="A441" t="s">
        <v>1966</v>
      </c>
    </row>
    <row r="442" spans="1:1" x14ac:dyDescent="0.3">
      <c r="A442" t="s">
        <v>1967</v>
      </c>
    </row>
    <row r="443" spans="1:1" x14ac:dyDescent="0.3">
      <c r="A443" t="s">
        <v>1968</v>
      </c>
    </row>
    <row r="444" spans="1:1" x14ac:dyDescent="0.3">
      <c r="A444" t="s">
        <v>1969</v>
      </c>
    </row>
    <row r="445" spans="1:1" x14ac:dyDescent="0.3">
      <c r="A445" t="s">
        <v>1970</v>
      </c>
    </row>
    <row r="446" spans="1:1" x14ac:dyDescent="0.3">
      <c r="A446" t="s">
        <v>1971</v>
      </c>
    </row>
    <row r="447" spans="1:1" x14ac:dyDescent="0.3">
      <c r="A447" t="s">
        <v>1972</v>
      </c>
    </row>
    <row r="448" spans="1:1" x14ac:dyDescent="0.3">
      <c r="A448" t="s">
        <v>1973</v>
      </c>
    </row>
    <row r="449" spans="1:1" x14ac:dyDescent="0.3">
      <c r="A449" t="s">
        <v>2034</v>
      </c>
    </row>
    <row r="450" spans="1:1" x14ac:dyDescent="0.3">
      <c r="A450" t="s">
        <v>2035</v>
      </c>
    </row>
    <row r="451" spans="1:1" x14ac:dyDescent="0.3">
      <c r="A451" t="s">
        <v>2036</v>
      </c>
    </row>
    <row r="452" spans="1:1" x14ac:dyDescent="0.3">
      <c r="A452" t="s">
        <v>2037</v>
      </c>
    </row>
    <row r="453" spans="1:1" x14ac:dyDescent="0.3">
      <c r="A453" t="s">
        <v>2038</v>
      </c>
    </row>
    <row r="454" spans="1:1" x14ac:dyDescent="0.3">
      <c r="A454" t="s">
        <v>2039</v>
      </c>
    </row>
    <row r="455" spans="1:1" x14ac:dyDescent="0.3">
      <c r="A455" t="s">
        <v>2040</v>
      </c>
    </row>
    <row r="456" spans="1:1" x14ac:dyDescent="0.3">
      <c r="A456" t="s">
        <v>2041</v>
      </c>
    </row>
    <row r="457" spans="1:1" x14ac:dyDescent="0.3">
      <c r="A457" t="s">
        <v>2042</v>
      </c>
    </row>
    <row r="458" spans="1:1" x14ac:dyDescent="0.3">
      <c r="A458" t="s">
        <v>2043</v>
      </c>
    </row>
    <row r="459" spans="1:1" x14ac:dyDescent="0.3">
      <c r="A459" t="s">
        <v>2044</v>
      </c>
    </row>
    <row r="460" spans="1:1" x14ac:dyDescent="0.3">
      <c r="A460" t="s">
        <v>2045</v>
      </c>
    </row>
    <row r="461" spans="1:1" x14ac:dyDescent="0.3">
      <c r="A461" t="s">
        <v>2046</v>
      </c>
    </row>
    <row r="462" spans="1:1" x14ac:dyDescent="0.3">
      <c r="A462" t="s">
        <v>2047</v>
      </c>
    </row>
    <row r="463" spans="1:1" x14ac:dyDescent="0.3">
      <c r="A463" t="s">
        <v>2048</v>
      </c>
    </row>
    <row r="464" spans="1:1" x14ac:dyDescent="0.3">
      <c r="A464" t="s">
        <v>2049</v>
      </c>
    </row>
    <row r="465" spans="1:1" x14ac:dyDescent="0.3">
      <c r="A465" t="s">
        <v>2050</v>
      </c>
    </row>
    <row r="466" spans="1:1" x14ac:dyDescent="0.3">
      <c r="A466" t="s">
        <v>2051</v>
      </c>
    </row>
    <row r="467" spans="1:1" x14ac:dyDescent="0.3">
      <c r="A467" t="s">
        <v>2052</v>
      </c>
    </row>
    <row r="468" spans="1:1" x14ac:dyDescent="0.3">
      <c r="A468" t="s">
        <v>2053</v>
      </c>
    </row>
    <row r="469" spans="1:1" x14ac:dyDescent="0.3">
      <c r="A469" t="s">
        <v>2054</v>
      </c>
    </row>
    <row r="470" spans="1:1" x14ac:dyDescent="0.3">
      <c r="A470" t="s">
        <v>2055</v>
      </c>
    </row>
    <row r="471" spans="1:1" x14ac:dyDescent="0.3">
      <c r="A471" t="s">
        <v>2056</v>
      </c>
    </row>
    <row r="472" spans="1:1" x14ac:dyDescent="0.3">
      <c r="A472" t="s">
        <v>2057</v>
      </c>
    </row>
    <row r="473" spans="1:1" x14ac:dyDescent="0.3">
      <c r="A473" t="s">
        <v>2058</v>
      </c>
    </row>
    <row r="474" spans="1:1" x14ac:dyDescent="0.3">
      <c r="A474" t="s">
        <v>2059</v>
      </c>
    </row>
    <row r="475" spans="1:1" x14ac:dyDescent="0.3">
      <c r="A475" t="s">
        <v>2060</v>
      </c>
    </row>
    <row r="476" spans="1:1" x14ac:dyDescent="0.3">
      <c r="A476" t="s">
        <v>2061</v>
      </c>
    </row>
    <row r="477" spans="1:1" x14ac:dyDescent="0.3">
      <c r="A477" t="s">
        <v>2062</v>
      </c>
    </row>
    <row r="478" spans="1:1" x14ac:dyDescent="0.3">
      <c r="A478" t="s">
        <v>2063</v>
      </c>
    </row>
    <row r="479" spans="1:1" x14ac:dyDescent="0.3">
      <c r="A479" t="s">
        <v>2064</v>
      </c>
    </row>
    <row r="480" spans="1:1" x14ac:dyDescent="0.3">
      <c r="A480" t="s">
        <v>2065</v>
      </c>
    </row>
    <row r="481" spans="1:1" x14ac:dyDescent="0.3">
      <c r="A481" t="s">
        <v>351</v>
      </c>
    </row>
    <row r="482" spans="1:1" x14ac:dyDescent="0.3">
      <c r="A482" t="s">
        <v>519</v>
      </c>
    </row>
    <row r="483" spans="1:1" x14ac:dyDescent="0.3">
      <c r="A483" t="s">
        <v>692</v>
      </c>
    </row>
    <row r="484" spans="1:1" x14ac:dyDescent="0.3">
      <c r="A484" t="s">
        <v>853</v>
      </c>
    </row>
    <row r="485" spans="1:1" x14ac:dyDescent="0.3">
      <c r="A485" t="s">
        <v>1020</v>
      </c>
    </row>
    <row r="486" spans="1:1" x14ac:dyDescent="0.3">
      <c r="A486" t="s">
        <v>1190</v>
      </c>
    </row>
    <row r="487" spans="1:1" x14ac:dyDescent="0.3">
      <c r="A487" t="s">
        <v>1361</v>
      </c>
    </row>
    <row r="488" spans="1:1" x14ac:dyDescent="0.3">
      <c r="A488" t="s">
        <v>1532</v>
      </c>
    </row>
    <row r="489" spans="1:1" x14ac:dyDescent="0.3">
      <c r="A489" t="s">
        <v>79</v>
      </c>
    </row>
    <row r="490" spans="1:1" x14ac:dyDescent="0.3">
      <c r="A490" t="s">
        <v>526</v>
      </c>
    </row>
    <row r="491" spans="1:1" x14ac:dyDescent="0.3">
      <c r="A491" t="s">
        <v>699</v>
      </c>
    </row>
    <row r="492" spans="1:1" x14ac:dyDescent="0.3">
      <c r="A492" t="s">
        <v>860</v>
      </c>
    </row>
    <row r="493" spans="1:1" x14ac:dyDescent="0.3">
      <c r="A493" t="s">
        <v>1027</v>
      </c>
    </row>
    <row r="494" spans="1:1" x14ac:dyDescent="0.3">
      <c r="A494" t="s">
        <v>1197</v>
      </c>
    </row>
    <row r="495" spans="1:1" x14ac:dyDescent="0.3">
      <c r="A495" t="s">
        <v>1368</v>
      </c>
    </row>
    <row r="496" spans="1:1" x14ac:dyDescent="0.3">
      <c r="A496" t="s">
        <v>1539</v>
      </c>
    </row>
    <row r="497" spans="1:1" x14ac:dyDescent="0.3">
      <c r="A497" t="s">
        <v>2068</v>
      </c>
    </row>
    <row r="498" spans="1:1" x14ac:dyDescent="0.3">
      <c r="A498" t="s">
        <v>2069</v>
      </c>
    </row>
    <row r="499" spans="1:1" x14ac:dyDescent="0.3">
      <c r="A499" t="s">
        <v>706</v>
      </c>
    </row>
    <row r="500" spans="1:1" x14ac:dyDescent="0.3">
      <c r="A500" t="s">
        <v>867</v>
      </c>
    </row>
    <row r="501" spans="1:1" x14ac:dyDescent="0.3">
      <c r="A501" t="s">
        <v>1034</v>
      </c>
    </row>
    <row r="502" spans="1:1" x14ac:dyDescent="0.3">
      <c r="A502" t="s">
        <v>2070</v>
      </c>
    </row>
    <row r="503" spans="1:1" x14ac:dyDescent="0.3">
      <c r="A503" t="s">
        <v>1375</v>
      </c>
    </row>
    <row r="504" spans="1:1" x14ac:dyDescent="0.3">
      <c r="A504" t="s">
        <v>2071</v>
      </c>
    </row>
    <row r="505" spans="1:1" x14ac:dyDescent="0.3">
      <c r="A505" t="s">
        <v>370</v>
      </c>
    </row>
    <row r="506" spans="1:1" x14ac:dyDescent="0.3">
      <c r="A506" t="s">
        <v>540</v>
      </c>
    </row>
    <row r="507" spans="1:1" x14ac:dyDescent="0.3">
      <c r="A507" t="s">
        <v>2072</v>
      </c>
    </row>
    <row r="508" spans="1:1" x14ac:dyDescent="0.3">
      <c r="A508" t="s">
        <v>2073</v>
      </c>
    </row>
    <row r="509" spans="1:1" x14ac:dyDescent="0.3">
      <c r="A509" t="s">
        <v>2074</v>
      </c>
    </row>
    <row r="510" spans="1:1" x14ac:dyDescent="0.3">
      <c r="A510" t="s">
        <v>1211</v>
      </c>
    </row>
    <row r="511" spans="1:1" x14ac:dyDescent="0.3">
      <c r="A511" t="s">
        <v>2075</v>
      </c>
    </row>
    <row r="512" spans="1:1" x14ac:dyDescent="0.3">
      <c r="A512" t="s">
        <v>1553</v>
      </c>
    </row>
    <row r="513" spans="1:1" x14ac:dyDescent="0.3">
      <c r="A513" t="s">
        <v>1974</v>
      </c>
    </row>
    <row r="514" spans="1:1" x14ac:dyDescent="0.3">
      <c r="A514" t="s">
        <v>1975</v>
      </c>
    </row>
    <row r="515" spans="1:1" x14ac:dyDescent="0.3">
      <c r="A515" t="s">
        <v>693</v>
      </c>
    </row>
    <row r="516" spans="1:1" x14ac:dyDescent="0.3">
      <c r="A516" t="s">
        <v>1976</v>
      </c>
    </row>
    <row r="517" spans="1:1" x14ac:dyDescent="0.3">
      <c r="A517" t="s">
        <v>1021</v>
      </c>
    </row>
    <row r="518" spans="1:1" x14ac:dyDescent="0.3">
      <c r="A518" t="s">
        <v>1191</v>
      </c>
    </row>
    <row r="519" spans="1:1" x14ac:dyDescent="0.3">
      <c r="A519" t="s">
        <v>1977</v>
      </c>
    </row>
    <row r="520" spans="1:1" x14ac:dyDescent="0.3">
      <c r="A520" t="s">
        <v>1533</v>
      </c>
    </row>
    <row r="521" spans="1:1" x14ac:dyDescent="0.3">
      <c r="A521" t="s">
        <v>1978</v>
      </c>
    </row>
    <row r="522" spans="1:1" x14ac:dyDescent="0.3">
      <c r="A522" t="s">
        <v>1979</v>
      </c>
    </row>
    <row r="523" spans="1:1" x14ac:dyDescent="0.3">
      <c r="A523" t="s">
        <v>1980</v>
      </c>
    </row>
    <row r="524" spans="1:1" x14ac:dyDescent="0.3">
      <c r="A524" t="s">
        <v>1981</v>
      </c>
    </row>
    <row r="525" spans="1:1" x14ac:dyDescent="0.3">
      <c r="A525" t="s">
        <v>1982</v>
      </c>
    </row>
    <row r="526" spans="1:1" x14ac:dyDescent="0.3">
      <c r="A526" t="s">
        <v>1983</v>
      </c>
    </row>
    <row r="527" spans="1:1" x14ac:dyDescent="0.3">
      <c r="A527" t="s">
        <v>1984</v>
      </c>
    </row>
    <row r="528" spans="1:1" x14ac:dyDescent="0.3">
      <c r="A528" t="s">
        <v>1985</v>
      </c>
    </row>
    <row r="529" spans="1:1" x14ac:dyDescent="0.3">
      <c r="A529" t="s">
        <v>1986</v>
      </c>
    </row>
    <row r="530" spans="1:1" x14ac:dyDescent="0.3">
      <c r="A530" t="s">
        <v>1987</v>
      </c>
    </row>
    <row r="531" spans="1:1" x14ac:dyDescent="0.3">
      <c r="A531" t="s">
        <v>1988</v>
      </c>
    </row>
    <row r="532" spans="1:1" x14ac:dyDescent="0.3">
      <c r="A532" t="s">
        <v>1989</v>
      </c>
    </row>
    <row r="533" spans="1:1" x14ac:dyDescent="0.3">
      <c r="A533" t="s">
        <v>1990</v>
      </c>
    </row>
    <row r="534" spans="1:1" x14ac:dyDescent="0.3">
      <c r="A534" t="s">
        <v>1991</v>
      </c>
    </row>
    <row r="535" spans="1:1" x14ac:dyDescent="0.3">
      <c r="A535" t="s">
        <v>1992</v>
      </c>
    </row>
    <row r="536" spans="1:1" x14ac:dyDescent="0.3">
      <c r="A536" t="s">
        <v>1993</v>
      </c>
    </row>
    <row r="537" spans="1:1" x14ac:dyDescent="0.3">
      <c r="A537" t="s">
        <v>1994</v>
      </c>
    </row>
    <row r="538" spans="1:1" x14ac:dyDescent="0.3">
      <c r="A538" t="s">
        <v>1995</v>
      </c>
    </row>
    <row r="539" spans="1:1" x14ac:dyDescent="0.3">
      <c r="A539" t="s">
        <v>1996</v>
      </c>
    </row>
    <row r="540" spans="1:1" x14ac:dyDescent="0.3">
      <c r="A540" t="s">
        <v>1997</v>
      </c>
    </row>
    <row r="541" spans="1:1" x14ac:dyDescent="0.3">
      <c r="A541" t="s">
        <v>1998</v>
      </c>
    </row>
    <row r="542" spans="1:1" x14ac:dyDescent="0.3">
      <c r="A542" t="s">
        <v>1999</v>
      </c>
    </row>
    <row r="543" spans="1:1" x14ac:dyDescent="0.3">
      <c r="A543" t="s">
        <v>2000</v>
      </c>
    </row>
    <row r="544" spans="1:1" x14ac:dyDescent="0.3">
      <c r="A544" t="s">
        <v>2001</v>
      </c>
    </row>
    <row r="545" spans="1:1" x14ac:dyDescent="0.3">
      <c r="A545" t="s">
        <v>354</v>
      </c>
    </row>
    <row r="546" spans="1:1" x14ac:dyDescent="0.3">
      <c r="A546" t="s">
        <v>523</v>
      </c>
    </row>
    <row r="547" spans="1:1" x14ac:dyDescent="0.3">
      <c r="A547" t="s">
        <v>696</v>
      </c>
    </row>
    <row r="548" spans="1:1" x14ac:dyDescent="0.3">
      <c r="A548" t="s">
        <v>857</v>
      </c>
    </row>
    <row r="549" spans="1:1" x14ac:dyDescent="0.3">
      <c r="A549" t="s">
        <v>1024</v>
      </c>
    </row>
    <row r="550" spans="1:1" x14ac:dyDescent="0.3">
      <c r="A550" t="s">
        <v>1194</v>
      </c>
    </row>
    <row r="551" spans="1:1" x14ac:dyDescent="0.3">
      <c r="A551" t="s">
        <v>1365</v>
      </c>
    </row>
    <row r="552" spans="1:1" x14ac:dyDescent="0.3">
      <c r="A552" t="s">
        <v>1536</v>
      </c>
    </row>
    <row r="553" spans="1:1" x14ac:dyDescent="0.3">
      <c r="A553" t="s">
        <v>360</v>
      </c>
    </row>
    <row r="554" spans="1:1" x14ac:dyDescent="0.3">
      <c r="A554" t="s">
        <v>530</v>
      </c>
    </row>
    <row r="555" spans="1:1" x14ac:dyDescent="0.3">
      <c r="A555" t="s">
        <v>703</v>
      </c>
    </row>
    <row r="556" spans="1:1" x14ac:dyDescent="0.3">
      <c r="A556" t="s">
        <v>864</v>
      </c>
    </row>
    <row r="557" spans="1:1" x14ac:dyDescent="0.3">
      <c r="A557" t="s">
        <v>1031</v>
      </c>
    </row>
    <row r="558" spans="1:1" x14ac:dyDescent="0.3">
      <c r="A558" t="s">
        <v>1201</v>
      </c>
    </row>
    <row r="559" spans="1:1" x14ac:dyDescent="0.3">
      <c r="A559" t="s">
        <v>1372</v>
      </c>
    </row>
    <row r="560" spans="1:1" x14ac:dyDescent="0.3">
      <c r="A560" t="s">
        <v>1543</v>
      </c>
    </row>
    <row r="561" spans="1:1" x14ac:dyDescent="0.3">
      <c r="A561" t="s">
        <v>2066</v>
      </c>
    </row>
    <row r="562" spans="1:1" x14ac:dyDescent="0.3">
      <c r="A562" t="s">
        <v>537</v>
      </c>
    </row>
    <row r="563" spans="1:1" x14ac:dyDescent="0.3">
      <c r="A563" t="s">
        <v>710</v>
      </c>
    </row>
    <row r="564" spans="1:1" x14ac:dyDescent="0.3">
      <c r="A564" t="s">
        <v>871</v>
      </c>
    </row>
    <row r="565" spans="1:1" x14ac:dyDescent="0.3">
      <c r="A565" t="s">
        <v>1038</v>
      </c>
    </row>
    <row r="566" spans="1:1" x14ac:dyDescent="0.3">
      <c r="A566" t="s">
        <v>1208</v>
      </c>
    </row>
    <row r="567" spans="1:1" x14ac:dyDescent="0.3">
      <c r="A567" t="s">
        <v>1379</v>
      </c>
    </row>
    <row r="568" spans="1:1" x14ac:dyDescent="0.3">
      <c r="A568" t="s">
        <v>1550</v>
      </c>
    </row>
    <row r="569" spans="1:1" x14ac:dyDescent="0.3">
      <c r="A569" t="s">
        <v>2067</v>
      </c>
    </row>
    <row r="570" spans="1:1" x14ac:dyDescent="0.3">
      <c r="A570" t="s">
        <v>544</v>
      </c>
    </row>
    <row r="571" spans="1:1" x14ac:dyDescent="0.3">
      <c r="A571" t="s">
        <v>717</v>
      </c>
    </row>
    <row r="572" spans="1:1" x14ac:dyDescent="0.3">
      <c r="A572" t="s">
        <v>878</v>
      </c>
    </row>
    <row r="573" spans="1:1" x14ac:dyDescent="0.3">
      <c r="A573" t="s">
        <v>572</v>
      </c>
    </row>
    <row r="574" spans="1:1" x14ac:dyDescent="0.3">
      <c r="A574" t="s">
        <v>1215</v>
      </c>
    </row>
    <row r="575" spans="1:1" x14ac:dyDescent="0.3">
      <c r="A575" t="s">
        <v>1386</v>
      </c>
    </row>
    <row r="576" spans="1:1" x14ac:dyDescent="0.3">
      <c r="A576" t="s">
        <v>1557</v>
      </c>
    </row>
    <row r="577" spans="1:1" x14ac:dyDescent="0.3">
      <c r="A577" t="s">
        <v>2076</v>
      </c>
    </row>
    <row r="578" spans="1:1" x14ac:dyDescent="0.3">
      <c r="A578" t="s">
        <v>2077</v>
      </c>
    </row>
    <row r="579" spans="1:1" x14ac:dyDescent="0.3">
      <c r="A579" t="s">
        <v>2078</v>
      </c>
    </row>
    <row r="580" spans="1:1" x14ac:dyDescent="0.3">
      <c r="A580" t="s">
        <v>2079</v>
      </c>
    </row>
    <row r="581" spans="1:1" x14ac:dyDescent="0.3">
      <c r="A581" t="s">
        <v>2080</v>
      </c>
    </row>
    <row r="582" spans="1:1" x14ac:dyDescent="0.3">
      <c r="A582" t="s">
        <v>2081</v>
      </c>
    </row>
    <row r="583" spans="1:1" x14ac:dyDescent="0.3">
      <c r="A583" t="s">
        <v>2082</v>
      </c>
    </row>
    <row r="584" spans="1:1" x14ac:dyDescent="0.3">
      <c r="A584" t="s">
        <v>2083</v>
      </c>
    </row>
    <row r="585" spans="1:1" x14ac:dyDescent="0.3">
      <c r="A585" t="s">
        <v>2084</v>
      </c>
    </row>
    <row r="586" spans="1:1" x14ac:dyDescent="0.3">
      <c r="A586" t="s">
        <v>2085</v>
      </c>
    </row>
    <row r="587" spans="1:1" x14ac:dyDescent="0.3">
      <c r="A587" t="s">
        <v>2086</v>
      </c>
    </row>
    <row r="588" spans="1:1" x14ac:dyDescent="0.3">
      <c r="A588" t="s">
        <v>2087</v>
      </c>
    </row>
    <row r="589" spans="1:1" x14ac:dyDescent="0.3">
      <c r="A589" t="s">
        <v>2088</v>
      </c>
    </row>
    <row r="590" spans="1:1" x14ac:dyDescent="0.3">
      <c r="A590" t="s">
        <v>2089</v>
      </c>
    </row>
    <row r="591" spans="1:1" x14ac:dyDescent="0.3">
      <c r="A591" t="s">
        <v>2090</v>
      </c>
    </row>
    <row r="592" spans="1:1" x14ac:dyDescent="0.3">
      <c r="A592" t="s">
        <v>2091</v>
      </c>
    </row>
    <row r="593" spans="1:1" x14ac:dyDescent="0.3">
      <c r="A593" t="s">
        <v>2092</v>
      </c>
    </row>
    <row r="594" spans="1:1" x14ac:dyDescent="0.3">
      <c r="A594" t="s">
        <v>2093</v>
      </c>
    </row>
    <row r="595" spans="1:1" x14ac:dyDescent="0.3">
      <c r="A595" t="s">
        <v>2094</v>
      </c>
    </row>
    <row r="596" spans="1:1" x14ac:dyDescent="0.3">
      <c r="A596" t="s">
        <v>2095</v>
      </c>
    </row>
    <row r="597" spans="1:1" x14ac:dyDescent="0.3">
      <c r="A597" t="s">
        <v>2096</v>
      </c>
    </row>
    <row r="598" spans="1:1" x14ac:dyDescent="0.3">
      <c r="A598" t="s">
        <v>2097</v>
      </c>
    </row>
    <row r="599" spans="1:1" x14ac:dyDescent="0.3">
      <c r="A599" t="s">
        <v>2098</v>
      </c>
    </row>
    <row r="600" spans="1:1" x14ac:dyDescent="0.3">
      <c r="A600" t="s">
        <v>2099</v>
      </c>
    </row>
    <row r="601" spans="1:1" x14ac:dyDescent="0.3">
      <c r="A601" t="s">
        <v>2100</v>
      </c>
    </row>
    <row r="602" spans="1:1" x14ac:dyDescent="0.3">
      <c r="A602" t="s">
        <v>2101</v>
      </c>
    </row>
    <row r="603" spans="1:1" x14ac:dyDescent="0.3">
      <c r="A603" t="s">
        <v>2102</v>
      </c>
    </row>
    <row r="604" spans="1:1" x14ac:dyDescent="0.3">
      <c r="A604" t="s">
        <v>2103</v>
      </c>
    </row>
    <row r="605" spans="1:1" x14ac:dyDescent="0.3">
      <c r="A605" t="s">
        <v>2104</v>
      </c>
    </row>
    <row r="606" spans="1:1" x14ac:dyDescent="0.3">
      <c r="A606" t="s">
        <v>2105</v>
      </c>
    </row>
    <row r="607" spans="1:1" x14ac:dyDescent="0.3">
      <c r="A607" t="s">
        <v>2106</v>
      </c>
    </row>
    <row r="608" spans="1:1" x14ac:dyDescent="0.3">
      <c r="A608" t="s">
        <v>2107</v>
      </c>
    </row>
    <row r="609" spans="1:1" x14ac:dyDescent="0.3">
      <c r="A609" t="s">
        <v>2108</v>
      </c>
    </row>
    <row r="610" spans="1:1" x14ac:dyDescent="0.3">
      <c r="A610" t="s">
        <v>2129</v>
      </c>
    </row>
    <row r="611" spans="1:1" x14ac:dyDescent="0.3">
      <c r="A611" t="s">
        <v>2130</v>
      </c>
    </row>
    <row r="612" spans="1:1" x14ac:dyDescent="0.3">
      <c r="A612" t="s">
        <v>2131</v>
      </c>
    </row>
    <row r="613" spans="1:1" x14ac:dyDescent="0.3">
      <c r="A613" t="s">
        <v>2132</v>
      </c>
    </row>
    <row r="614" spans="1:1" x14ac:dyDescent="0.3">
      <c r="A614" t="s">
        <v>2133</v>
      </c>
    </row>
    <row r="615" spans="1:1" x14ac:dyDescent="0.3">
      <c r="A615" t="s">
        <v>2134</v>
      </c>
    </row>
    <row r="616" spans="1:1" x14ac:dyDescent="0.3">
      <c r="A616" t="s">
        <v>2135</v>
      </c>
    </row>
    <row r="617" spans="1:1" x14ac:dyDescent="0.3">
      <c r="A617" t="s">
        <v>2136</v>
      </c>
    </row>
    <row r="618" spans="1:1" x14ac:dyDescent="0.3">
      <c r="A618" t="s">
        <v>2137</v>
      </c>
    </row>
    <row r="619" spans="1:1" x14ac:dyDescent="0.3">
      <c r="A619" t="s">
        <v>2138</v>
      </c>
    </row>
    <row r="620" spans="1:1" x14ac:dyDescent="0.3">
      <c r="A620" t="s">
        <v>2139</v>
      </c>
    </row>
    <row r="621" spans="1:1" x14ac:dyDescent="0.3">
      <c r="A621" t="s">
        <v>2140</v>
      </c>
    </row>
    <row r="622" spans="1:1" x14ac:dyDescent="0.3">
      <c r="A622" t="s">
        <v>2141</v>
      </c>
    </row>
    <row r="623" spans="1:1" x14ac:dyDescent="0.3">
      <c r="A623" t="s">
        <v>2142</v>
      </c>
    </row>
    <row r="624" spans="1:1" x14ac:dyDescent="0.3">
      <c r="A624" t="s">
        <v>2143</v>
      </c>
    </row>
    <row r="625" spans="1:1" x14ac:dyDescent="0.3">
      <c r="A625" t="s">
        <v>2144</v>
      </c>
    </row>
    <row r="626" spans="1:1" x14ac:dyDescent="0.3">
      <c r="A626" t="s">
        <v>2145</v>
      </c>
    </row>
    <row r="627" spans="1:1" x14ac:dyDescent="0.3">
      <c r="A627" t="s">
        <v>2146</v>
      </c>
    </row>
    <row r="628" spans="1:1" x14ac:dyDescent="0.3">
      <c r="A628" t="s">
        <v>2147</v>
      </c>
    </row>
    <row r="629" spans="1:1" x14ac:dyDescent="0.3">
      <c r="A629" t="s">
        <v>2148</v>
      </c>
    </row>
    <row r="630" spans="1:1" x14ac:dyDescent="0.3">
      <c r="A630" t="s">
        <v>2149</v>
      </c>
    </row>
    <row r="631" spans="1:1" x14ac:dyDescent="0.3">
      <c r="A631" t="s">
        <v>2150</v>
      </c>
    </row>
    <row r="632" spans="1:1" x14ac:dyDescent="0.3">
      <c r="A632" t="s">
        <v>2151</v>
      </c>
    </row>
    <row r="633" spans="1:1" x14ac:dyDescent="0.3">
      <c r="A633" t="s">
        <v>2152</v>
      </c>
    </row>
    <row r="634" spans="1:1" x14ac:dyDescent="0.3">
      <c r="A634" t="s">
        <v>2153</v>
      </c>
    </row>
    <row r="635" spans="1:1" x14ac:dyDescent="0.3">
      <c r="A635" t="s">
        <v>2154</v>
      </c>
    </row>
    <row r="636" spans="1:1" x14ac:dyDescent="0.3">
      <c r="A636" t="s">
        <v>2155</v>
      </c>
    </row>
    <row r="637" spans="1:1" x14ac:dyDescent="0.3">
      <c r="A637" t="s">
        <v>2156</v>
      </c>
    </row>
    <row r="638" spans="1:1" x14ac:dyDescent="0.3">
      <c r="A638" t="s">
        <v>2157</v>
      </c>
    </row>
    <row r="639" spans="1:1" x14ac:dyDescent="0.3">
      <c r="A639" t="s">
        <v>2158</v>
      </c>
    </row>
    <row r="640" spans="1:1" x14ac:dyDescent="0.3">
      <c r="A640" t="s">
        <v>2159</v>
      </c>
    </row>
    <row r="641" spans="1:1" x14ac:dyDescent="0.3">
      <c r="A641" t="s">
        <v>2160</v>
      </c>
    </row>
    <row r="642" spans="1:1" x14ac:dyDescent="0.3">
      <c r="A642" t="s">
        <v>2109</v>
      </c>
    </row>
    <row r="643" spans="1:1" x14ac:dyDescent="0.3">
      <c r="A643" t="s">
        <v>2161</v>
      </c>
    </row>
    <row r="644" spans="1:1" x14ac:dyDescent="0.3">
      <c r="A644" t="s">
        <v>2162</v>
      </c>
    </row>
    <row r="645" spans="1:1" x14ac:dyDescent="0.3">
      <c r="A645" t="s">
        <v>2163</v>
      </c>
    </row>
    <row r="646" spans="1:1" x14ac:dyDescent="0.3">
      <c r="A646" t="s">
        <v>2164</v>
      </c>
    </row>
    <row r="647" spans="1:1" x14ac:dyDescent="0.3">
      <c r="A647" t="s">
        <v>2165</v>
      </c>
    </row>
    <row r="648" spans="1:1" x14ac:dyDescent="0.3">
      <c r="A648" t="s">
        <v>2166</v>
      </c>
    </row>
    <row r="649" spans="1:1" x14ac:dyDescent="0.3">
      <c r="A649" t="s">
        <v>2167</v>
      </c>
    </row>
    <row r="650" spans="1:1" x14ac:dyDescent="0.3">
      <c r="A650" t="s">
        <v>2168</v>
      </c>
    </row>
    <row r="651" spans="1:1" x14ac:dyDescent="0.3">
      <c r="A651" t="s">
        <v>2169</v>
      </c>
    </row>
    <row r="652" spans="1:1" x14ac:dyDescent="0.3">
      <c r="A652" t="s">
        <v>2170</v>
      </c>
    </row>
    <row r="653" spans="1:1" x14ac:dyDescent="0.3">
      <c r="A653" t="s">
        <v>2171</v>
      </c>
    </row>
    <row r="654" spans="1:1" x14ac:dyDescent="0.3">
      <c r="A654" t="s">
        <v>2172</v>
      </c>
    </row>
    <row r="655" spans="1:1" x14ac:dyDescent="0.3">
      <c r="A655" t="s">
        <v>2173</v>
      </c>
    </row>
    <row r="656" spans="1:1" x14ac:dyDescent="0.3">
      <c r="A656" t="s">
        <v>2174</v>
      </c>
    </row>
    <row r="657" spans="1:1" x14ac:dyDescent="0.3">
      <c r="A657" t="s">
        <v>2175</v>
      </c>
    </row>
    <row r="658" spans="1:1" x14ac:dyDescent="0.3">
      <c r="A658" t="s">
        <v>2176</v>
      </c>
    </row>
    <row r="659" spans="1:1" x14ac:dyDescent="0.3">
      <c r="A659" t="s">
        <v>2177</v>
      </c>
    </row>
    <row r="660" spans="1:1" x14ac:dyDescent="0.3">
      <c r="A660" t="s">
        <v>2178</v>
      </c>
    </row>
    <row r="661" spans="1:1" x14ac:dyDescent="0.3">
      <c r="A661" t="s">
        <v>2179</v>
      </c>
    </row>
    <row r="662" spans="1:1" x14ac:dyDescent="0.3">
      <c r="A662" t="s">
        <v>2180</v>
      </c>
    </row>
    <row r="663" spans="1:1" x14ac:dyDescent="0.3">
      <c r="A663" t="s">
        <v>2181</v>
      </c>
    </row>
    <row r="664" spans="1:1" x14ac:dyDescent="0.3">
      <c r="A664" t="s">
        <v>2182</v>
      </c>
    </row>
    <row r="665" spans="1:1" x14ac:dyDescent="0.3">
      <c r="A665" t="s">
        <v>2183</v>
      </c>
    </row>
    <row r="666" spans="1:1" x14ac:dyDescent="0.3">
      <c r="A666" t="s">
        <v>2184</v>
      </c>
    </row>
    <row r="667" spans="1:1" x14ac:dyDescent="0.3">
      <c r="A667" t="s">
        <v>2185</v>
      </c>
    </row>
    <row r="668" spans="1:1" x14ac:dyDescent="0.3">
      <c r="A668" t="s">
        <v>2186</v>
      </c>
    </row>
    <row r="669" spans="1:1" x14ac:dyDescent="0.3">
      <c r="A669" t="s">
        <v>2187</v>
      </c>
    </row>
    <row r="670" spans="1:1" x14ac:dyDescent="0.3">
      <c r="A670" t="s">
        <v>2188</v>
      </c>
    </row>
    <row r="671" spans="1:1" x14ac:dyDescent="0.3">
      <c r="A671" t="s">
        <v>2189</v>
      </c>
    </row>
    <row r="672" spans="1:1" x14ac:dyDescent="0.3">
      <c r="A672" t="s">
        <v>2190</v>
      </c>
    </row>
    <row r="673" spans="1:1" x14ac:dyDescent="0.3">
      <c r="A673" t="s">
        <v>2191</v>
      </c>
    </row>
    <row r="674" spans="1:1" x14ac:dyDescent="0.3">
      <c r="A674" t="s">
        <v>2192</v>
      </c>
    </row>
    <row r="675" spans="1:1" x14ac:dyDescent="0.3">
      <c r="A675" t="s">
        <v>377</v>
      </c>
    </row>
    <row r="676" spans="1:1" x14ac:dyDescent="0.3">
      <c r="A676" t="s">
        <v>547</v>
      </c>
    </row>
    <row r="677" spans="1:1" x14ac:dyDescent="0.3">
      <c r="A677" t="s">
        <v>719</v>
      </c>
    </row>
    <row r="678" spans="1:1" x14ac:dyDescent="0.3">
      <c r="A678" t="s">
        <v>881</v>
      </c>
    </row>
    <row r="679" spans="1:1" x14ac:dyDescent="0.3">
      <c r="A679" t="s">
        <v>1047</v>
      </c>
    </row>
    <row r="680" spans="1:1" x14ac:dyDescent="0.3">
      <c r="A680" t="s">
        <v>1218</v>
      </c>
    </row>
    <row r="681" spans="1:1" x14ac:dyDescent="0.3">
      <c r="A681" t="s">
        <v>1389</v>
      </c>
    </row>
    <row r="682" spans="1:1" x14ac:dyDescent="0.3">
      <c r="A682" t="s">
        <v>1560</v>
      </c>
    </row>
    <row r="683" spans="1:1" x14ac:dyDescent="0.3">
      <c r="A683" t="s">
        <v>82</v>
      </c>
    </row>
    <row r="684" spans="1:1" x14ac:dyDescent="0.3">
      <c r="A684" t="s">
        <v>554</v>
      </c>
    </row>
    <row r="685" spans="1:1" x14ac:dyDescent="0.3">
      <c r="A685" t="s">
        <v>726</v>
      </c>
    </row>
    <row r="686" spans="1:1" x14ac:dyDescent="0.3">
      <c r="A686" t="s">
        <v>888</v>
      </c>
    </row>
    <row r="687" spans="1:1" x14ac:dyDescent="0.3">
      <c r="A687" t="s">
        <v>1054</v>
      </c>
    </row>
    <row r="688" spans="1:1" x14ac:dyDescent="0.3">
      <c r="A688" t="s">
        <v>1225</v>
      </c>
    </row>
    <row r="689" spans="1:1" x14ac:dyDescent="0.3">
      <c r="A689" t="s">
        <v>1396</v>
      </c>
    </row>
    <row r="690" spans="1:1" x14ac:dyDescent="0.3">
      <c r="A690" t="s">
        <v>1567</v>
      </c>
    </row>
    <row r="691" spans="1:1" x14ac:dyDescent="0.3">
      <c r="A691" t="s">
        <v>2198</v>
      </c>
    </row>
    <row r="692" spans="1:1" x14ac:dyDescent="0.3">
      <c r="A692" t="s">
        <v>2199</v>
      </c>
    </row>
    <row r="693" spans="1:1" x14ac:dyDescent="0.3">
      <c r="A693" t="s">
        <v>733</v>
      </c>
    </row>
    <row r="694" spans="1:1" x14ac:dyDescent="0.3">
      <c r="A694" t="s">
        <v>2200</v>
      </c>
    </row>
    <row r="695" spans="1:1" x14ac:dyDescent="0.3">
      <c r="A695" t="s">
        <v>2201</v>
      </c>
    </row>
    <row r="696" spans="1:1" x14ac:dyDescent="0.3">
      <c r="A696" t="s">
        <v>2202</v>
      </c>
    </row>
    <row r="697" spans="1:1" x14ac:dyDescent="0.3">
      <c r="A697" t="s">
        <v>2203</v>
      </c>
    </row>
    <row r="698" spans="1:1" x14ac:dyDescent="0.3">
      <c r="A698" t="s">
        <v>1574</v>
      </c>
    </row>
    <row r="699" spans="1:1" x14ac:dyDescent="0.3">
      <c r="A699" t="s">
        <v>2204</v>
      </c>
    </row>
    <row r="700" spans="1:1" x14ac:dyDescent="0.3">
      <c r="A700" t="s">
        <v>2205</v>
      </c>
    </row>
    <row r="701" spans="1:1" x14ac:dyDescent="0.3">
      <c r="A701" t="s">
        <v>2206</v>
      </c>
    </row>
    <row r="702" spans="1:1" x14ac:dyDescent="0.3">
      <c r="A702" t="s">
        <v>902</v>
      </c>
    </row>
    <row r="703" spans="1:1" x14ac:dyDescent="0.3">
      <c r="A703" t="s">
        <v>2207</v>
      </c>
    </row>
    <row r="704" spans="1:1" x14ac:dyDescent="0.3">
      <c r="A704" t="s">
        <v>2208</v>
      </c>
    </row>
    <row r="705" spans="1:1" x14ac:dyDescent="0.3">
      <c r="A705" t="s">
        <v>2209</v>
      </c>
    </row>
    <row r="706" spans="1:1" x14ac:dyDescent="0.3">
      <c r="A706" t="s">
        <v>1581</v>
      </c>
    </row>
    <row r="707" spans="1:1" x14ac:dyDescent="0.3">
      <c r="A707" t="s">
        <v>378</v>
      </c>
    </row>
    <row r="708" spans="1:1" x14ac:dyDescent="0.3">
      <c r="A708" t="s">
        <v>548</v>
      </c>
    </row>
    <row r="709" spans="1:1" x14ac:dyDescent="0.3">
      <c r="A709" t="s">
        <v>720</v>
      </c>
    </row>
    <row r="710" spans="1:1" x14ac:dyDescent="0.3">
      <c r="A710" t="s">
        <v>882</v>
      </c>
    </row>
    <row r="711" spans="1:1" x14ac:dyDescent="0.3">
      <c r="A711" t="s">
        <v>1048</v>
      </c>
    </row>
    <row r="712" spans="1:1" x14ac:dyDescent="0.3">
      <c r="A712" t="s">
        <v>1219</v>
      </c>
    </row>
    <row r="713" spans="1:1" x14ac:dyDescent="0.3">
      <c r="A713" t="s">
        <v>1390</v>
      </c>
    </row>
    <row r="714" spans="1:1" x14ac:dyDescent="0.3">
      <c r="A714" t="s">
        <v>1561</v>
      </c>
    </row>
    <row r="715" spans="1:1" x14ac:dyDescent="0.3">
      <c r="A715" t="s">
        <v>384</v>
      </c>
    </row>
    <row r="716" spans="1:1" x14ac:dyDescent="0.3">
      <c r="A716" t="s">
        <v>555</v>
      </c>
    </row>
    <row r="717" spans="1:1" x14ac:dyDescent="0.3">
      <c r="A717" t="s">
        <v>2110</v>
      </c>
    </row>
    <row r="718" spans="1:1" x14ac:dyDescent="0.3">
      <c r="A718" t="s">
        <v>889</v>
      </c>
    </row>
    <row r="719" spans="1:1" x14ac:dyDescent="0.3">
      <c r="A719" t="s">
        <v>2111</v>
      </c>
    </row>
    <row r="720" spans="1:1" x14ac:dyDescent="0.3">
      <c r="A720" t="s">
        <v>1226</v>
      </c>
    </row>
    <row r="721" spans="1:1" x14ac:dyDescent="0.3">
      <c r="A721" t="s">
        <v>1397</v>
      </c>
    </row>
    <row r="722" spans="1:1" x14ac:dyDescent="0.3">
      <c r="A722" t="s">
        <v>2112</v>
      </c>
    </row>
    <row r="723" spans="1:1" x14ac:dyDescent="0.3">
      <c r="A723" t="s">
        <v>2113</v>
      </c>
    </row>
    <row r="724" spans="1:1" x14ac:dyDescent="0.3">
      <c r="A724" t="s">
        <v>2114</v>
      </c>
    </row>
    <row r="725" spans="1:1" x14ac:dyDescent="0.3">
      <c r="A725" t="s">
        <v>2115</v>
      </c>
    </row>
    <row r="726" spans="1:1" x14ac:dyDescent="0.3">
      <c r="A726" t="s">
        <v>2116</v>
      </c>
    </row>
    <row r="727" spans="1:1" x14ac:dyDescent="0.3">
      <c r="A727" t="s">
        <v>2117</v>
      </c>
    </row>
    <row r="728" spans="1:1" x14ac:dyDescent="0.3">
      <c r="A728" t="s">
        <v>2118</v>
      </c>
    </row>
    <row r="729" spans="1:1" x14ac:dyDescent="0.3">
      <c r="A729" t="s">
        <v>2119</v>
      </c>
    </row>
    <row r="730" spans="1:1" x14ac:dyDescent="0.3">
      <c r="A730" t="s">
        <v>2120</v>
      </c>
    </row>
    <row r="731" spans="1:1" x14ac:dyDescent="0.3">
      <c r="A731" t="s">
        <v>2121</v>
      </c>
    </row>
    <row r="732" spans="1:1" x14ac:dyDescent="0.3">
      <c r="A732" t="s">
        <v>2122</v>
      </c>
    </row>
    <row r="733" spans="1:1" x14ac:dyDescent="0.3">
      <c r="A733" t="s">
        <v>2123</v>
      </c>
    </row>
    <row r="734" spans="1:1" x14ac:dyDescent="0.3">
      <c r="A734" t="s">
        <v>2124</v>
      </c>
    </row>
    <row r="735" spans="1:1" x14ac:dyDescent="0.3">
      <c r="A735" t="s">
        <v>2125</v>
      </c>
    </row>
    <row r="736" spans="1:1" x14ac:dyDescent="0.3">
      <c r="A736" t="s">
        <v>2126</v>
      </c>
    </row>
    <row r="737" spans="1:1" x14ac:dyDescent="0.3">
      <c r="A737" t="s">
        <v>2127</v>
      </c>
    </row>
    <row r="738" spans="1:1" x14ac:dyDescent="0.3">
      <c r="A738" t="s">
        <v>2128</v>
      </c>
    </row>
    <row r="739" spans="1:1" x14ac:dyDescent="0.3">
      <c r="A739" t="s">
        <v>381</v>
      </c>
    </row>
    <row r="740" spans="1:1" x14ac:dyDescent="0.3">
      <c r="A740" t="s">
        <v>551</v>
      </c>
    </row>
    <row r="741" spans="1:1" x14ac:dyDescent="0.3">
      <c r="A741" t="s">
        <v>723</v>
      </c>
    </row>
    <row r="742" spans="1:1" x14ac:dyDescent="0.3">
      <c r="A742" t="s">
        <v>885</v>
      </c>
    </row>
    <row r="743" spans="1:1" x14ac:dyDescent="0.3">
      <c r="A743" t="s">
        <v>1051</v>
      </c>
    </row>
    <row r="744" spans="1:1" x14ac:dyDescent="0.3">
      <c r="A744" t="s">
        <v>1222</v>
      </c>
    </row>
    <row r="745" spans="1:1" x14ac:dyDescent="0.3">
      <c r="A745" t="s">
        <v>1393</v>
      </c>
    </row>
    <row r="746" spans="1:1" x14ac:dyDescent="0.3">
      <c r="A746" t="s">
        <v>1564</v>
      </c>
    </row>
    <row r="747" spans="1:1" x14ac:dyDescent="0.3">
      <c r="A747" t="s">
        <v>387</v>
      </c>
    </row>
    <row r="748" spans="1:1" x14ac:dyDescent="0.3">
      <c r="A748" t="s">
        <v>2193</v>
      </c>
    </row>
    <row r="749" spans="1:1" x14ac:dyDescent="0.3">
      <c r="A749" t="s">
        <v>730</v>
      </c>
    </row>
    <row r="750" spans="1:1" x14ac:dyDescent="0.3">
      <c r="A750" t="s">
        <v>892</v>
      </c>
    </row>
    <row r="751" spans="1:1" x14ac:dyDescent="0.3">
      <c r="A751" t="s">
        <v>1058</v>
      </c>
    </row>
    <row r="752" spans="1:1" x14ac:dyDescent="0.3">
      <c r="A752" t="s">
        <v>1229</v>
      </c>
    </row>
    <row r="753" spans="1:1" x14ac:dyDescent="0.3">
      <c r="A753" t="s">
        <v>1400</v>
      </c>
    </row>
    <row r="754" spans="1:1" x14ac:dyDescent="0.3">
      <c r="A754" t="s">
        <v>1571</v>
      </c>
    </row>
    <row r="755" spans="1:1" x14ac:dyDescent="0.3">
      <c r="A755" t="s">
        <v>394</v>
      </c>
    </row>
    <row r="756" spans="1:1" x14ac:dyDescent="0.3">
      <c r="A756" t="s">
        <v>565</v>
      </c>
    </row>
    <row r="757" spans="1:1" x14ac:dyDescent="0.3">
      <c r="A757" t="s">
        <v>737</v>
      </c>
    </row>
    <row r="758" spans="1:1" x14ac:dyDescent="0.3">
      <c r="A758" t="s">
        <v>899</v>
      </c>
    </row>
    <row r="759" spans="1:1" x14ac:dyDescent="0.3">
      <c r="A759" t="s">
        <v>1065</v>
      </c>
    </row>
    <row r="760" spans="1:1" x14ac:dyDescent="0.3">
      <c r="A760" t="s">
        <v>1236</v>
      </c>
    </row>
    <row r="761" spans="1:1" x14ac:dyDescent="0.3">
      <c r="A761" t="s">
        <v>2194</v>
      </c>
    </row>
    <row r="762" spans="1:1" x14ac:dyDescent="0.3">
      <c r="A762" t="s">
        <v>2195</v>
      </c>
    </row>
    <row r="763" spans="1:1" x14ac:dyDescent="0.3">
      <c r="A763" t="s">
        <v>401</v>
      </c>
    </row>
    <row r="764" spans="1:1" x14ac:dyDescent="0.3">
      <c r="A764" t="s">
        <v>572</v>
      </c>
    </row>
    <row r="765" spans="1:1" x14ac:dyDescent="0.3">
      <c r="A765" t="s">
        <v>717</v>
      </c>
    </row>
    <row r="766" spans="1:1" x14ac:dyDescent="0.3">
      <c r="A766" t="s">
        <v>906</v>
      </c>
    </row>
    <row r="767" spans="1:1" x14ac:dyDescent="0.3">
      <c r="A767" t="s">
        <v>1072</v>
      </c>
    </row>
    <row r="768" spans="1:1" x14ac:dyDescent="0.3">
      <c r="A768" t="s">
        <v>2196</v>
      </c>
    </row>
    <row r="769" spans="1:1" x14ac:dyDescent="0.3">
      <c r="A769" t="s">
        <v>1414</v>
      </c>
    </row>
    <row r="770" spans="1:1" x14ac:dyDescent="0.3">
      <c r="A770" t="s">
        <v>2197</v>
      </c>
    </row>
    <row r="771" spans="1:1" x14ac:dyDescent="0.3">
      <c r="A771" t="s">
        <v>2210</v>
      </c>
    </row>
    <row r="772" spans="1:1" x14ac:dyDescent="0.3">
      <c r="A772" t="s">
        <v>2211</v>
      </c>
    </row>
    <row r="773" spans="1:1" x14ac:dyDescent="0.3">
      <c r="A773" t="s">
        <v>2212</v>
      </c>
    </row>
    <row r="774" spans="1:1" x14ac:dyDescent="0.3">
      <c r="A774" t="s">
        <v>2213</v>
      </c>
    </row>
    <row r="775" spans="1:1" x14ac:dyDescent="0.3">
      <c r="A775" t="s">
        <v>2214</v>
      </c>
    </row>
    <row r="776" spans="1:1" x14ac:dyDescent="0.3">
      <c r="A776" t="s">
        <v>2215</v>
      </c>
    </row>
    <row r="777" spans="1:1" x14ac:dyDescent="0.3">
      <c r="A777" t="s">
        <v>2216</v>
      </c>
    </row>
    <row r="778" spans="1:1" x14ac:dyDescent="0.3">
      <c r="A778" t="s">
        <v>2217</v>
      </c>
    </row>
    <row r="779" spans="1:1" x14ac:dyDescent="0.3">
      <c r="A779" t="s">
        <v>2218</v>
      </c>
    </row>
    <row r="780" spans="1:1" x14ac:dyDescent="0.3">
      <c r="A780" t="s">
        <v>2219</v>
      </c>
    </row>
    <row r="781" spans="1:1" x14ac:dyDescent="0.3">
      <c r="A781" t="s">
        <v>2220</v>
      </c>
    </row>
    <row r="782" spans="1:1" x14ac:dyDescent="0.3">
      <c r="A782" t="s">
        <v>2221</v>
      </c>
    </row>
    <row r="783" spans="1:1" x14ac:dyDescent="0.3">
      <c r="A783" t="s">
        <v>2222</v>
      </c>
    </row>
    <row r="784" spans="1:1" x14ac:dyDescent="0.3">
      <c r="A784" t="s">
        <v>2223</v>
      </c>
    </row>
    <row r="785" spans="1:1" x14ac:dyDescent="0.3">
      <c r="A785" t="s">
        <v>2224</v>
      </c>
    </row>
    <row r="786" spans="1:1" x14ac:dyDescent="0.3">
      <c r="A786" t="s">
        <v>2225</v>
      </c>
    </row>
    <row r="787" spans="1:1" x14ac:dyDescent="0.3">
      <c r="A787" t="s">
        <v>2226</v>
      </c>
    </row>
    <row r="788" spans="1:1" x14ac:dyDescent="0.3">
      <c r="A788" t="s">
        <v>2227</v>
      </c>
    </row>
    <row r="789" spans="1:1" x14ac:dyDescent="0.3">
      <c r="A789" t="s">
        <v>2228</v>
      </c>
    </row>
    <row r="790" spans="1:1" x14ac:dyDescent="0.3">
      <c r="A790" t="s">
        <v>2229</v>
      </c>
    </row>
    <row r="791" spans="1:1" x14ac:dyDescent="0.3">
      <c r="A791" t="s">
        <v>2230</v>
      </c>
    </row>
    <row r="792" spans="1:1" x14ac:dyDescent="0.3">
      <c r="A792" t="s">
        <v>2231</v>
      </c>
    </row>
    <row r="793" spans="1:1" x14ac:dyDescent="0.3">
      <c r="A793" t="s">
        <v>2232</v>
      </c>
    </row>
    <row r="794" spans="1:1" x14ac:dyDescent="0.3">
      <c r="A794" t="s">
        <v>2233</v>
      </c>
    </row>
    <row r="795" spans="1:1" x14ac:dyDescent="0.3">
      <c r="A795" t="s">
        <v>2234</v>
      </c>
    </row>
    <row r="796" spans="1:1" x14ac:dyDescent="0.3">
      <c r="A796" t="s">
        <v>2235</v>
      </c>
    </row>
    <row r="797" spans="1:1" x14ac:dyDescent="0.3">
      <c r="A797" t="s">
        <v>2236</v>
      </c>
    </row>
    <row r="798" spans="1:1" x14ac:dyDescent="0.3">
      <c r="A798" t="s">
        <v>2237</v>
      </c>
    </row>
    <row r="799" spans="1:1" x14ac:dyDescent="0.3">
      <c r="A799" t="s">
        <v>2238</v>
      </c>
    </row>
    <row r="800" spans="1:1" x14ac:dyDescent="0.3">
      <c r="A800" t="s">
        <v>2239</v>
      </c>
    </row>
    <row r="801" spans="1:1" x14ac:dyDescent="0.3">
      <c r="A801" t="s">
        <v>2240</v>
      </c>
    </row>
    <row r="802" spans="1:1" x14ac:dyDescent="0.3">
      <c r="A802" t="s">
        <v>2241</v>
      </c>
    </row>
    <row r="803" spans="1:1" x14ac:dyDescent="0.3">
      <c r="A803" t="s">
        <v>2242</v>
      </c>
    </row>
    <row r="804" spans="1:1" x14ac:dyDescent="0.3">
      <c r="A804" t="s">
        <v>2277</v>
      </c>
    </row>
    <row r="805" spans="1:1" x14ac:dyDescent="0.3">
      <c r="A805" t="s">
        <v>2278</v>
      </c>
    </row>
    <row r="806" spans="1:1" x14ac:dyDescent="0.3">
      <c r="A806" t="s">
        <v>2279</v>
      </c>
    </row>
    <row r="807" spans="1:1" x14ac:dyDescent="0.3">
      <c r="A807" t="s">
        <v>2280</v>
      </c>
    </row>
    <row r="808" spans="1:1" x14ac:dyDescent="0.3">
      <c r="A808" t="s">
        <v>2281</v>
      </c>
    </row>
    <row r="809" spans="1:1" x14ac:dyDescent="0.3">
      <c r="A809" t="s">
        <v>2282</v>
      </c>
    </row>
    <row r="810" spans="1:1" x14ac:dyDescent="0.3">
      <c r="A810" t="s">
        <v>2283</v>
      </c>
    </row>
    <row r="811" spans="1:1" x14ac:dyDescent="0.3">
      <c r="A811" t="s">
        <v>2284</v>
      </c>
    </row>
    <row r="812" spans="1:1" x14ac:dyDescent="0.3">
      <c r="A812" t="s">
        <v>2285</v>
      </c>
    </row>
    <row r="813" spans="1:1" x14ac:dyDescent="0.3">
      <c r="A813" t="s">
        <v>2286</v>
      </c>
    </row>
    <row r="814" spans="1:1" x14ac:dyDescent="0.3">
      <c r="A814" t="s">
        <v>2287</v>
      </c>
    </row>
    <row r="815" spans="1:1" x14ac:dyDescent="0.3">
      <c r="A815" t="s">
        <v>2288</v>
      </c>
    </row>
    <row r="816" spans="1:1" x14ac:dyDescent="0.3">
      <c r="A816" t="s">
        <v>2289</v>
      </c>
    </row>
    <row r="817" spans="1:1" x14ac:dyDescent="0.3">
      <c r="A817" t="s">
        <v>2290</v>
      </c>
    </row>
    <row r="818" spans="1:1" x14ac:dyDescent="0.3">
      <c r="A818" t="s">
        <v>2291</v>
      </c>
    </row>
    <row r="819" spans="1:1" x14ac:dyDescent="0.3">
      <c r="A819" t="s">
        <v>2292</v>
      </c>
    </row>
    <row r="820" spans="1:1" x14ac:dyDescent="0.3">
      <c r="A820" t="s">
        <v>2293</v>
      </c>
    </row>
    <row r="821" spans="1:1" x14ac:dyDescent="0.3">
      <c r="A821" t="s">
        <v>2294</v>
      </c>
    </row>
    <row r="822" spans="1:1" x14ac:dyDescent="0.3">
      <c r="A822" t="s">
        <v>2295</v>
      </c>
    </row>
    <row r="823" spans="1:1" x14ac:dyDescent="0.3">
      <c r="A823" t="s">
        <v>2296</v>
      </c>
    </row>
    <row r="824" spans="1:1" x14ac:dyDescent="0.3">
      <c r="A824" t="s">
        <v>2297</v>
      </c>
    </row>
    <row r="825" spans="1:1" x14ac:dyDescent="0.3">
      <c r="A825" t="s">
        <v>2298</v>
      </c>
    </row>
    <row r="826" spans="1:1" x14ac:dyDescent="0.3">
      <c r="A826" t="s">
        <v>2299</v>
      </c>
    </row>
    <row r="827" spans="1:1" x14ac:dyDescent="0.3">
      <c r="A827" t="s">
        <v>2300</v>
      </c>
    </row>
    <row r="828" spans="1:1" x14ac:dyDescent="0.3">
      <c r="A828" t="s">
        <v>2301</v>
      </c>
    </row>
    <row r="829" spans="1:1" x14ac:dyDescent="0.3">
      <c r="A829" t="s">
        <v>2302</v>
      </c>
    </row>
    <row r="830" spans="1:1" x14ac:dyDescent="0.3">
      <c r="A830" t="s">
        <v>2303</v>
      </c>
    </row>
    <row r="831" spans="1:1" x14ac:dyDescent="0.3">
      <c r="A831" t="s">
        <v>2304</v>
      </c>
    </row>
    <row r="832" spans="1:1" x14ac:dyDescent="0.3">
      <c r="A832" t="s">
        <v>2305</v>
      </c>
    </row>
    <row r="833" spans="1:1" x14ac:dyDescent="0.3">
      <c r="A833" t="s">
        <v>2306</v>
      </c>
    </row>
    <row r="834" spans="1:1" x14ac:dyDescent="0.3">
      <c r="A834" t="s">
        <v>2307</v>
      </c>
    </row>
    <row r="835" spans="1:1" x14ac:dyDescent="0.3">
      <c r="A835" t="s">
        <v>2308</v>
      </c>
    </row>
    <row r="836" spans="1:1" x14ac:dyDescent="0.3">
      <c r="A836" t="s">
        <v>1416</v>
      </c>
    </row>
    <row r="837" spans="1:1" x14ac:dyDescent="0.3">
      <c r="A837" t="s">
        <v>1586</v>
      </c>
    </row>
    <row r="838" spans="1:1" x14ac:dyDescent="0.3">
      <c r="A838" t="s">
        <v>410</v>
      </c>
    </row>
    <row r="839" spans="1:1" x14ac:dyDescent="0.3">
      <c r="A839" t="s">
        <v>581</v>
      </c>
    </row>
    <row r="840" spans="1:1" x14ac:dyDescent="0.3">
      <c r="A840" t="s">
        <v>752</v>
      </c>
    </row>
    <row r="841" spans="1:1" x14ac:dyDescent="0.3">
      <c r="A841" t="s">
        <v>914</v>
      </c>
    </row>
    <row r="842" spans="1:1" x14ac:dyDescent="0.3">
      <c r="A842" t="s">
        <v>1081</v>
      </c>
    </row>
    <row r="843" spans="1:1" x14ac:dyDescent="0.3">
      <c r="A843" t="s">
        <v>1252</v>
      </c>
    </row>
    <row r="844" spans="1:1" x14ac:dyDescent="0.3">
      <c r="A844" t="s">
        <v>1423</v>
      </c>
    </row>
    <row r="845" spans="1:1" x14ac:dyDescent="0.3">
      <c r="A845" t="s">
        <v>1593</v>
      </c>
    </row>
    <row r="846" spans="1:1" x14ac:dyDescent="0.3">
      <c r="A846" t="s">
        <v>2243</v>
      </c>
    </row>
    <row r="847" spans="1:1" x14ac:dyDescent="0.3">
      <c r="A847" t="s">
        <v>2244</v>
      </c>
    </row>
    <row r="848" spans="1:1" x14ac:dyDescent="0.3">
      <c r="A848" t="s">
        <v>2245</v>
      </c>
    </row>
    <row r="849" spans="1:1" x14ac:dyDescent="0.3">
      <c r="A849" t="s">
        <v>2246</v>
      </c>
    </row>
    <row r="850" spans="1:1" x14ac:dyDescent="0.3">
      <c r="A850" t="s">
        <v>2247</v>
      </c>
    </row>
    <row r="851" spans="1:1" x14ac:dyDescent="0.3">
      <c r="A851" t="s">
        <v>2248</v>
      </c>
    </row>
    <row r="852" spans="1:1" x14ac:dyDescent="0.3">
      <c r="A852" t="s">
        <v>2249</v>
      </c>
    </row>
    <row r="853" spans="1:1" x14ac:dyDescent="0.3">
      <c r="A853" t="s">
        <v>2250</v>
      </c>
    </row>
    <row r="854" spans="1:1" x14ac:dyDescent="0.3">
      <c r="A854" t="s">
        <v>2251</v>
      </c>
    </row>
    <row r="855" spans="1:1" x14ac:dyDescent="0.3">
      <c r="A855" t="s">
        <v>2252</v>
      </c>
    </row>
    <row r="856" spans="1:1" x14ac:dyDescent="0.3">
      <c r="A856" t="s">
        <v>2253</v>
      </c>
    </row>
    <row r="857" spans="1:1" x14ac:dyDescent="0.3">
      <c r="A857" t="s">
        <v>2254</v>
      </c>
    </row>
    <row r="858" spans="1:1" x14ac:dyDescent="0.3">
      <c r="A858" t="s">
        <v>2255</v>
      </c>
    </row>
    <row r="859" spans="1:1" x14ac:dyDescent="0.3">
      <c r="A859" t="s">
        <v>2256</v>
      </c>
    </row>
    <row r="860" spans="1:1" x14ac:dyDescent="0.3">
      <c r="A860" t="s">
        <v>2257</v>
      </c>
    </row>
    <row r="861" spans="1:1" x14ac:dyDescent="0.3">
      <c r="A861" t="s">
        <v>2258</v>
      </c>
    </row>
    <row r="862" spans="1:1" x14ac:dyDescent="0.3">
      <c r="A862" t="s">
        <v>2309</v>
      </c>
    </row>
    <row r="863" spans="1:1" x14ac:dyDescent="0.3">
      <c r="A863" t="s">
        <v>2310</v>
      </c>
    </row>
    <row r="864" spans="1:1" x14ac:dyDescent="0.3">
      <c r="A864" t="s">
        <v>2311</v>
      </c>
    </row>
    <row r="865" spans="1:1" x14ac:dyDescent="0.3">
      <c r="A865" t="s">
        <v>2312</v>
      </c>
    </row>
    <row r="866" spans="1:1" x14ac:dyDescent="0.3">
      <c r="A866" t="s">
        <v>2313</v>
      </c>
    </row>
    <row r="867" spans="1:1" x14ac:dyDescent="0.3">
      <c r="A867" t="s">
        <v>2314</v>
      </c>
    </row>
    <row r="868" spans="1:1" x14ac:dyDescent="0.3">
      <c r="A868" t="s">
        <v>2315</v>
      </c>
    </row>
    <row r="869" spans="1:1" x14ac:dyDescent="0.3">
      <c r="A869" t="s">
        <v>2316</v>
      </c>
    </row>
    <row r="870" spans="1:1" x14ac:dyDescent="0.3">
      <c r="A870" t="s">
        <v>2317</v>
      </c>
    </row>
    <row r="871" spans="1:1" x14ac:dyDescent="0.3">
      <c r="A871" t="s">
        <v>2318</v>
      </c>
    </row>
    <row r="872" spans="1:1" x14ac:dyDescent="0.3">
      <c r="A872" t="s">
        <v>2319</v>
      </c>
    </row>
    <row r="873" spans="1:1" x14ac:dyDescent="0.3">
      <c r="A873" t="s">
        <v>2320</v>
      </c>
    </row>
    <row r="874" spans="1:1" x14ac:dyDescent="0.3">
      <c r="A874" t="s">
        <v>2321</v>
      </c>
    </row>
    <row r="875" spans="1:1" x14ac:dyDescent="0.3">
      <c r="A875" t="s">
        <v>2322</v>
      </c>
    </row>
    <row r="876" spans="1:1" x14ac:dyDescent="0.3">
      <c r="A876" t="s">
        <v>2323</v>
      </c>
    </row>
    <row r="877" spans="1:1" x14ac:dyDescent="0.3">
      <c r="A877" t="s">
        <v>2324</v>
      </c>
    </row>
    <row r="878" spans="1:1" x14ac:dyDescent="0.3">
      <c r="A878" t="s">
        <v>2325</v>
      </c>
    </row>
    <row r="879" spans="1:1" x14ac:dyDescent="0.3">
      <c r="A879" t="s">
        <v>2326</v>
      </c>
    </row>
    <row r="880" spans="1:1" x14ac:dyDescent="0.3">
      <c r="A880" t="s">
        <v>2327</v>
      </c>
    </row>
    <row r="881" spans="1:1" x14ac:dyDescent="0.3">
      <c r="A881" t="s">
        <v>2328</v>
      </c>
    </row>
    <row r="882" spans="1:1" x14ac:dyDescent="0.3">
      <c r="A882" t="s">
        <v>2329</v>
      </c>
    </row>
    <row r="883" spans="1:1" x14ac:dyDescent="0.3">
      <c r="A883" t="s">
        <v>2330</v>
      </c>
    </row>
    <row r="884" spans="1:1" x14ac:dyDescent="0.3">
      <c r="A884" t="s">
        <v>2331</v>
      </c>
    </row>
    <row r="885" spans="1:1" x14ac:dyDescent="0.3">
      <c r="A885" t="s">
        <v>2332</v>
      </c>
    </row>
    <row r="886" spans="1:1" x14ac:dyDescent="0.3">
      <c r="A886" t="s">
        <v>2333</v>
      </c>
    </row>
    <row r="887" spans="1:1" x14ac:dyDescent="0.3">
      <c r="A887" t="s">
        <v>2334</v>
      </c>
    </row>
    <row r="888" spans="1:1" x14ac:dyDescent="0.3">
      <c r="A888" t="s">
        <v>2335</v>
      </c>
    </row>
    <row r="889" spans="1:1" x14ac:dyDescent="0.3">
      <c r="A889" t="s">
        <v>2336</v>
      </c>
    </row>
    <row r="890" spans="1:1" x14ac:dyDescent="0.3">
      <c r="A890" t="s">
        <v>2337</v>
      </c>
    </row>
    <row r="891" spans="1:1" x14ac:dyDescent="0.3">
      <c r="A891" t="s">
        <v>2338</v>
      </c>
    </row>
    <row r="892" spans="1:1" x14ac:dyDescent="0.3">
      <c r="A892" t="s">
        <v>2339</v>
      </c>
    </row>
    <row r="893" spans="1:1" x14ac:dyDescent="0.3">
      <c r="A893" t="s">
        <v>2340</v>
      </c>
    </row>
    <row r="894" spans="1:1" x14ac:dyDescent="0.3">
      <c r="A894" t="s">
        <v>404</v>
      </c>
    </row>
    <row r="895" spans="1:1" x14ac:dyDescent="0.3">
      <c r="A895" t="s">
        <v>575</v>
      </c>
    </row>
    <row r="896" spans="1:1" x14ac:dyDescent="0.3">
      <c r="A896" t="s">
        <v>746</v>
      </c>
    </row>
    <row r="897" spans="1:1" x14ac:dyDescent="0.3">
      <c r="A897" t="s">
        <v>908</v>
      </c>
    </row>
    <row r="898" spans="1:1" x14ac:dyDescent="0.3">
      <c r="A898" t="s">
        <v>1075</v>
      </c>
    </row>
    <row r="899" spans="1:1" x14ac:dyDescent="0.3">
      <c r="A899" t="s">
        <v>1246</v>
      </c>
    </row>
    <row r="900" spans="1:1" x14ac:dyDescent="0.3">
      <c r="A900" t="s">
        <v>1417</v>
      </c>
    </row>
    <row r="901" spans="1:1" x14ac:dyDescent="0.3">
      <c r="A901" t="s">
        <v>1587</v>
      </c>
    </row>
    <row r="902" spans="1:1" x14ac:dyDescent="0.3">
      <c r="A902" t="s">
        <v>411</v>
      </c>
    </row>
    <row r="903" spans="1:1" x14ac:dyDescent="0.3">
      <c r="A903" t="s">
        <v>582</v>
      </c>
    </row>
    <row r="904" spans="1:1" x14ac:dyDescent="0.3">
      <c r="A904" t="s">
        <v>753</v>
      </c>
    </row>
    <row r="905" spans="1:1" x14ac:dyDescent="0.3">
      <c r="A905" t="s">
        <v>915</v>
      </c>
    </row>
    <row r="906" spans="1:1" x14ac:dyDescent="0.3">
      <c r="A906" t="s">
        <v>1082</v>
      </c>
    </row>
    <row r="907" spans="1:1" x14ac:dyDescent="0.3">
      <c r="A907" t="s">
        <v>2345</v>
      </c>
    </row>
    <row r="908" spans="1:1" x14ac:dyDescent="0.3">
      <c r="A908" t="s">
        <v>1424</v>
      </c>
    </row>
    <row r="909" spans="1:1" x14ac:dyDescent="0.3">
      <c r="A909" t="s">
        <v>2346</v>
      </c>
    </row>
    <row r="910" spans="1:1" x14ac:dyDescent="0.3">
      <c r="A910" t="s">
        <v>2347</v>
      </c>
    </row>
    <row r="911" spans="1:1" x14ac:dyDescent="0.3">
      <c r="A911" t="s">
        <v>2348</v>
      </c>
    </row>
    <row r="912" spans="1:1" x14ac:dyDescent="0.3">
      <c r="A912" t="s">
        <v>760</v>
      </c>
    </row>
    <row r="913" spans="1:1" x14ac:dyDescent="0.3">
      <c r="A913" t="s">
        <v>2349</v>
      </c>
    </row>
    <row r="914" spans="1:1" x14ac:dyDescent="0.3">
      <c r="A914" t="s">
        <v>1089</v>
      </c>
    </row>
    <row r="915" spans="1:1" x14ac:dyDescent="0.3">
      <c r="A915" t="s">
        <v>2350</v>
      </c>
    </row>
    <row r="916" spans="1:1" x14ac:dyDescent="0.3">
      <c r="A916" t="s">
        <v>1431</v>
      </c>
    </row>
    <row r="917" spans="1:1" x14ac:dyDescent="0.3">
      <c r="A917" t="s">
        <v>1601</v>
      </c>
    </row>
    <row r="918" spans="1:1" x14ac:dyDescent="0.3">
      <c r="A918" t="s">
        <v>85</v>
      </c>
    </row>
    <row r="919" spans="1:1" x14ac:dyDescent="0.3">
      <c r="A919" t="s">
        <v>2351</v>
      </c>
    </row>
    <row r="920" spans="1:1" x14ac:dyDescent="0.3">
      <c r="A920" t="s">
        <v>2352</v>
      </c>
    </row>
    <row r="921" spans="1:1" x14ac:dyDescent="0.3">
      <c r="A921" t="s">
        <v>929</v>
      </c>
    </row>
    <row r="922" spans="1:1" x14ac:dyDescent="0.3">
      <c r="A922" t="s">
        <v>1096</v>
      </c>
    </row>
    <row r="923" spans="1:1" x14ac:dyDescent="0.3">
      <c r="A923" t="s">
        <v>1267</v>
      </c>
    </row>
    <row r="924" spans="1:1" x14ac:dyDescent="0.3">
      <c r="A924" t="s">
        <v>2353</v>
      </c>
    </row>
    <row r="925" spans="1:1" x14ac:dyDescent="0.3">
      <c r="A925" t="s">
        <v>405</v>
      </c>
    </row>
    <row r="926" spans="1:1" x14ac:dyDescent="0.3">
      <c r="A926" t="s">
        <v>576</v>
      </c>
    </row>
    <row r="927" spans="1:1" x14ac:dyDescent="0.3">
      <c r="A927" t="s">
        <v>747</v>
      </c>
    </row>
    <row r="928" spans="1:1" x14ac:dyDescent="0.3">
      <c r="A928" t="s">
        <v>909</v>
      </c>
    </row>
    <row r="929" spans="1:1" x14ac:dyDescent="0.3">
      <c r="A929" t="s">
        <v>1076</v>
      </c>
    </row>
    <row r="930" spans="1:1" x14ac:dyDescent="0.3">
      <c r="A930" t="s">
        <v>1247</v>
      </c>
    </row>
    <row r="931" spans="1:1" x14ac:dyDescent="0.3">
      <c r="A931" t="s">
        <v>1418</v>
      </c>
    </row>
    <row r="932" spans="1:1" x14ac:dyDescent="0.3">
      <c r="A932" t="s">
        <v>1588</v>
      </c>
    </row>
    <row r="933" spans="1:1" x14ac:dyDescent="0.3">
      <c r="A933" t="s">
        <v>412</v>
      </c>
    </row>
    <row r="934" spans="1:1" x14ac:dyDescent="0.3">
      <c r="A934" t="s">
        <v>583</v>
      </c>
    </row>
    <row r="935" spans="1:1" x14ac:dyDescent="0.3">
      <c r="A935" t="s">
        <v>754</v>
      </c>
    </row>
    <row r="936" spans="1:1" x14ac:dyDescent="0.3">
      <c r="A936" t="s">
        <v>916</v>
      </c>
    </row>
    <row r="937" spans="1:1" x14ac:dyDescent="0.3">
      <c r="A937" t="s">
        <v>1083</v>
      </c>
    </row>
    <row r="938" spans="1:1" x14ac:dyDescent="0.3">
      <c r="A938" t="s">
        <v>2259</v>
      </c>
    </row>
    <row r="939" spans="1:1" x14ac:dyDescent="0.3">
      <c r="A939" t="s">
        <v>1425</v>
      </c>
    </row>
    <row r="940" spans="1:1" x14ac:dyDescent="0.3">
      <c r="A940" t="s">
        <v>2260</v>
      </c>
    </row>
    <row r="941" spans="1:1" x14ac:dyDescent="0.3">
      <c r="A941" t="s">
        <v>2261</v>
      </c>
    </row>
    <row r="942" spans="1:1" x14ac:dyDescent="0.3">
      <c r="A942" t="s">
        <v>2262</v>
      </c>
    </row>
    <row r="943" spans="1:1" x14ac:dyDescent="0.3">
      <c r="A943" t="s">
        <v>2263</v>
      </c>
    </row>
    <row r="944" spans="1:1" x14ac:dyDescent="0.3">
      <c r="A944" t="s">
        <v>2264</v>
      </c>
    </row>
    <row r="945" spans="1:1" x14ac:dyDescent="0.3">
      <c r="A945" t="s">
        <v>2265</v>
      </c>
    </row>
    <row r="946" spans="1:1" x14ac:dyDescent="0.3">
      <c r="A946" t="s">
        <v>2266</v>
      </c>
    </row>
    <row r="947" spans="1:1" x14ac:dyDescent="0.3">
      <c r="A947" t="s">
        <v>2267</v>
      </c>
    </row>
    <row r="948" spans="1:1" x14ac:dyDescent="0.3">
      <c r="A948" t="s">
        <v>2268</v>
      </c>
    </row>
    <row r="949" spans="1:1" x14ac:dyDescent="0.3">
      <c r="A949" t="s">
        <v>2269</v>
      </c>
    </row>
    <row r="950" spans="1:1" x14ac:dyDescent="0.3">
      <c r="A950" t="s">
        <v>2270</v>
      </c>
    </row>
    <row r="951" spans="1:1" x14ac:dyDescent="0.3">
      <c r="A951" t="s">
        <v>2271</v>
      </c>
    </row>
    <row r="952" spans="1:1" x14ac:dyDescent="0.3">
      <c r="A952" t="s">
        <v>2272</v>
      </c>
    </row>
    <row r="953" spans="1:1" x14ac:dyDescent="0.3">
      <c r="A953" t="s">
        <v>2273</v>
      </c>
    </row>
    <row r="954" spans="1:1" x14ac:dyDescent="0.3">
      <c r="A954" t="s">
        <v>2274</v>
      </c>
    </row>
    <row r="955" spans="1:1" x14ac:dyDescent="0.3">
      <c r="A955" t="s">
        <v>2275</v>
      </c>
    </row>
    <row r="956" spans="1:1" x14ac:dyDescent="0.3">
      <c r="A956" t="s">
        <v>2276</v>
      </c>
    </row>
    <row r="957" spans="1:1" x14ac:dyDescent="0.3">
      <c r="A957" t="s">
        <v>408</v>
      </c>
    </row>
    <row r="958" spans="1:1" x14ac:dyDescent="0.3">
      <c r="A958" t="s">
        <v>579</v>
      </c>
    </row>
    <row r="959" spans="1:1" x14ac:dyDescent="0.3">
      <c r="A959" t="s">
        <v>750</v>
      </c>
    </row>
    <row r="960" spans="1:1" x14ac:dyDescent="0.3">
      <c r="A960" t="s">
        <v>912</v>
      </c>
    </row>
    <row r="961" spans="1:1" x14ac:dyDescent="0.3">
      <c r="A961" t="s">
        <v>1079</v>
      </c>
    </row>
    <row r="962" spans="1:1" x14ac:dyDescent="0.3">
      <c r="A962" t="s">
        <v>1250</v>
      </c>
    </row>
    <row r="963" spans="1:1" x14ac:dyDescent="0.3">
      <c r="A963" t="s">
        <v>1421</v>
      </c>
    </row>
    <row r="964" spans="1:1" x14ac:dyDescent="0.3">
      <c r="A964" t="s">
        <v>1591</v>
      </c>
    </row>
    <row r="965" spans="1:1" x14ac:dyDescent="0.3">
      <c r="A965" t="s">
        <v>415</v>
      </c>
    </row>
    <row r="966" spans="1:1" x14ac:dyDescent="0.3">
      <c r="A966" t="s">
        <v>586</v>
      </c>
    </row>
    <row r="967" spans="1:1" x14ac:dyDescent="0.3">
      <c r="A967" t="s">
        <v>757</v>
      </c>
    </row>
    <row r="968" spans="1:1" x14ac:dyDescent="0.3">
      <c r="A968" t="s">
        <v>919</v>
      </c>
    </row>
    <row r="969" spans="1:1" x14ac:dyDescent="0.3">
      <c r="A969" t="s">
        <v>1086</v>
      </c>
    </row>
    <row r="970" spans="1:1" x14ac:dyDescent="0.3">
      <c r="A970" t="s">
        <v>1257</v>
      </c>
    </row>
    <row r="971" spans="1:1" x14ac:dyDescent="0.3">
      <c r="A971" t="s">
        <v>1428</v>
      </c>
    </row>
    <row r="972" spans="1:1" x14ac:dyDescent="0.3">
      <c r="A972" t="s">
        <v>1598</v>
      </c>
    </row>
    <row r="973" spans="1:1" x14ac:dyDescent="0.3">
      <c r="A973" t="s">
        <v>2341</v>
      </c>
    </row>
    <row r="974" spans="1:1" x14ac:dyDescent="0.3">
      <c r="A974" t="s">
        <v>2342</v>
      </c>
    </row>
    <row r="975" spans="1:1" x14ac:dyDescent="0.3">
      <c r="A975" t="s">
        <v>2342</v>
      </c>
    </row>
    <row r="976" spans="1:1" x14ac:dyDescent="0.3">
      <c r="A976" t="s">
        <v>2343</v>
      </c>
    </row>
    <row r="977" spans="1:1" x14ac:dyDescent="0.3">
      <c r="A977" t="s">
        <v>1093</v>
      </c>
    </row>
    <row r="978" spans="1:1" x14ac:dyDescent="0.3">
      <c r="A978" t="s">
        <v>1264</v>
      </c>
    </row>
    <row r="979" spans="1:1" x14ac:dyDescent="0.3">
      <c r="A979" t="s">
        <v>1435</v>
      </c>
    </row>
    <row r="980" spans="1:1" x14ac:dyDescent="0.3">
      <c r="A980" t="s">
        <v>2344</v>
      </c>
    </row>
    <row r="981" spans="1:1" x14ac:dyDescent="0.3">
      <c r="A981" t="s">
        <v>428</v>
      </c>
    </row>
    <row r="982" spans="1:1" x14ac:dyDescent="0.3">
      <c r="A982" t="s">
        <v>600</v>
      </c>
    </row>
    <row r="983" spans="1:1" x14ac:dyDescent="0.3">
      <c r="A983" t="s">
        <v>769</v>
      </c>
    </row>
    <row r="984" spans="1:1" x14ac:dyDescent="0.3">
      <c r="A984" t="s">
        <v>933</v>
      </c>
    </row>
    <row r="985" spans="1:1" x14ac:dyDescent="0.3">
      <c r="A985" t="s">
        <v>1100</v>
      </c>
    </row>
    <row r="986" spans="1:1" x14ac:dyDescent="0.3">
      <c r="A986" t="s">
        <v>1271</v>
      </c>
    </row>
    <row r="987" spans="1:1" x14ac:dyDescent="0.3">
      <c r="A987" t="s">
        <v>1442</v>
      </c>
    </row>
    <row r="988" spans="1:1" x14ac:dyDescent="0.3">
      <c r="A988" t="s">
        <v>1611</v>
      </c>
    </row>
    <row r="989" spans="1:1" x14ac:dyDescent="0.3">
      <c r="A989" t="s">
        <v>2354</v>
      </c>
    </row>
    <row r="990" spans="1:1" x14ac:dyDescent="0.3">
      <c r="A990" t="s">
        <v>2355</v>
      </c>
    </row>
    <row r="991" spans="1:1" x14ac:dyDescent="0.3">
      <c r="A991" t="s">
        <v>2356</v>
      </c>
    </row>
    <row r="992" spans="1:1" x14ac:dyDescent="0.3">
      <c r="A992" t="s">
        <v>2357</v>
      </c>
    </row>
    <row r="993" spans="1:1" x14ac:dyDescent="0.3">
      <c r="A993" t="s">
        <v>2358</v>
      </c>
    </row>
    <row r="994" spans="1:1" x14ac:dyDescent="0.3">
      <c r="A994" t="s">
        <v>2359</v>
      </c>
    </row>
    <row r="995" spans="1:1" x14ac:dyDescent="0.3">
      <c r="A995" t="s">
        <v>2360</v>
      </c>
    </row>
    <row r="996" spans="1:1" x14ac:dyDescent="0.3">
      <c r="A996" t="s">
        <v>2361</v>
      </c>
    </row>
    <row r="997" spans="1:1" x14ac:dyDescent="0.3">
      <c r="A997" t="s">
        <v>2362</v>
      </c>
    </row>
    <row r="998" spans="1:1" x14ac:dyDescent="0.3">
      <c r="A998" t="s">
        <v>2363</v>
      </c>
    </row>
    <row r="999" spans="1:1" x14ac:dyDescent="0.3">
      <c r="A999" t="s">
        <v>2364</v>
      </c>
    </row>
    <row r="1000" spans="1:1" x14ac:dyDescent="0.3">
      <c r="A1000" t="s">
        <v>2365</v>
      </c>
    </row>
    <row r="1001" spans="1:1" x14ac:dyDescent="0.3">
      <c r="A1001" t="s">
        <v>2366</v>
      </c>
    </row>
    <row r="1002" spans="1:1" x14ac:dyDescent="0.3">
      <c r="A1002" t="s">
        <v>2367</v>
      </c>
    </row>
    <row r="1003" spans="1:1" x14ac:dyDescent="0.3">
      <c r="A1003" t="s">
        <v>2368</v>
      </c>
    </row>
    <row r="1004" spans="1:1" x14ac:dyDescent="0.3">
      <c r="A1004" t="s">
        <v>2369</v>
      </c>
    </row>
    <row r="1005" spans="1:1" x14ac:dyDescent="0.3">
      <c r="A1005" t="s">
        <v>2370</v>
      </c>
    </row>
    <row r="1006" spans="1:1" x14ac:dyDescent="0.3">
      <c r="A1006" t="s">
        <v>2371</v>
      </c>
    </row>
    <row r="1007" spans="1:1" x14ac:dyDescent="0.3">
      <c r="A1007" t="s">
        <v>2372</v>
      </c>
    </row>
    <row r="1008" spans="1:1" x14ac:dyDescent="0.3">
      <c r="A1008" t="s">
        <v>2373</v>
      </c>
    </row>
    <row r="1009" spans="1:1" x14ac:dyDescent="0.3">
      <c r="A1009" t="s">
        <v>2374</v>
      </c>
    </row>
    <row r="1010" spans="1:1" x14ac:dyDescent="0.3">
      <c r="A1010" t="s">
        <v>2375</v>
      </c>
    </row>
    <row r="1011" spans="1:1" x14ac:dyDescent="0.3">
      <c r="A1011" t="s">
        <v>2376</v>
      </c>
    </row>
    <row r="1012" spans="1:1" x14ac:dyDescent="0.3">
      <c r="A1012" t="s">
        <v>2377</v>
      </c>
    </row>
    <row r="1013" spans="1:1" x14ac:dyDescent="0.3">
      <c r="A1013" t="s">
        <v>2378</v>
      </c>
    </row>
    <row r="1014" spans="1:1" x14ac:dyDescent="0.3">
      <c r="A1014" t="s">
        <v>2379</v>
      </c>
    </row>
    <row r="1015" spans="1:1" x14ac:dyDescent="0.3">
      <c r="A1015" t="s">
        <v>2380</v>
      </c>
    </row>
    <row r="1016" spans="1:1" x14ac:dyDescent="0.3">
      <c r="A1016" t="s">
        <v>2381</v>
      </c>
    </row>
    <row r="1017" spans="1:1" x14ac:dyDescent="0.3">
      <c r="A1017" t="s">
        <v>2382</v>
      </c>
    </row>
    <row r="1018" spans="1:1" x14ac:dyDescent="0.3">
      <c r="A1018" t="s">
        <v>2383</v>
      </c>
    </row>
    <row r="1019" spans="1:1" x14ac:dyDescent="0.3">
      <c r="A1019" t="s">
        <v>2384</v>
      </c>
    </row>
    <row r="1020" spans="1:1" x14ac:dyDescent="0.3">
      <c r="A1020" t="s">
        <v>2385</v>
      </c>
    </row>
    <row r="1021" spans="1:1" x14ac:dyDescent="0.3">
      <c r="A1021" t="s">
        <v>2386</v>
      </c>
    </row>
    <row r="1022" spans="1:1" x14ac:dyDescent="0.3">
      <c r="A1022" t="s">
        <v>2387</v>
      </c>
    </row>
    <row r="1023" spans="1:1" x14ac:dyDescent="0.3">
      <c r="A1023" t="s">
        <v>2388</v>
      </c>
    </row>
    <row r="1024" spans="1:1" x14ac:dyDescent="0.3">
      <c r="A1024" t="s">
        <v>2409</v>
      </c>
    </row>
    <row r="1025" spans="1:1" x14ac:dyDescent="0.3">
      <c r="A1025" t="s">
        <v>2410</v>
      </c>
    </row>
    <row r="1026" spans="1:1" x14ac:dyDescent="0.3">
      <c r="A1026" t="s">
        <v>2411</v>
      </c>
    </row>
    <row r="1027" spans="1:1" x14ac:dyDescent="0.3">
      <c r="A1027" t="s">
        <v>2412</v>
      </c>
    </row>
    <row r="1028" spans="1:1" x14ac:dyDescent="0.3">
      <c r="A1028" t="s">
        <v>2413</v>
      </c>
    </row>
    <row r="1029" spans="1:1" x14ac:dyDescent="0.3">
      <c r="A1029" t="s">
        <v>2414</v>
      </c>
    </row>
    <row r="1030" spans="1:1" x14ac:dyDescent="0.3">
      <c r="A1030" t="s">
        <v>2415</v>
      </c>
    </row>
    <row r="1031" spans="1:1" x14ac:dyDescent="0.3">
      <c r="A1031" t="s">
        <v>2416</v>
      </c>
    </row>
    <row r="1032" spans="1:1" x14ac:dyDescent="0.3">
      <c r="A1032" t="s">
        <v>2417</v>
      </c>
    </row>
    <row r="1033" spans="1:1" x14ac:dyDescent="0.3">
      <c r="A1033" t="s">
        <v>2418</v>
      </c>
    </row>
    <row r="1034" spans="1:1" x14ac:dyDescent="0.3">
      <c r="A1034" t="s">
        <v>2419</v>
      </c>
    </row>
    <row r="1035" spans="1:1" x14ac:dyDescent="0.3">
      <c r="A1035" t="s">
        <v>2420</v>
      </c>
    </row>
    <row r="1036" spans="1:1" x14ac:dyDescent="0.3">
      <c r="A1036" t="s">
        <v>2421</v>
      </c>
    </row>
    <row r="1037" spans="1:1" x14ac:dyDescent="0.3">
      <c r="A1037" t="s">
        <v>2422</v>
      </c>
    </row>
    <row r="1038" spans="1:1" x14ac:dyDescent="0.3">
      <c r="A1038" t="s">
        <v>2423</v>
      </c>
    </row>
    <row r="1039" spans="1:1" x14ac:dyDescent="0.3">
      <c r="A1039" t="s">
        <v>2424</v>
      </c>
    </row>
    <row r="1040" spans="1:1" x14ac:dyDescent="0.3">
      <c r="A1040" t="s">
        <v>2425</v>
      </c>
    </row>
    <row r="1041" spans="1:1" x14ac:dyDescent="0.3">
      <c r="A1041" t="s">
        <v>2426</v>
      </c>
    </row>
    <row r="1042" spans="1:1" x14ac:dyDescent="0.3">
      <c r="A1042" t="s">
        <v>2427</v>
      </c>
    </row>
    <row r="1043" spans="1:1" x14ac:dyDescent="0.3">
      <c r="A1043" t="s">
        <v>2428</v>
      </c>
    </row>
    <row r="1044" spans="1:1" x14ac:dyDescent="0.3">
      <c r="A1044" t="s">
        <v>2429</v>
      </c>
    </row>
    <row r="1045" spans="1:1" x14ac:dyDescent="0.3">
      <c r="A1045" t="s">
        <v>2430</v>
      </c>
    </row>
    <row r="1046" spans="1:1" x14ac:dyDescent="0.3">
      <c r="A1046" t="s">
        <v>2431</v>
      </c>
    </row>
    <row r="1047" spans="1:1" x14ac:dyDescent="0.3">
      <c r="A1047" t="s">
        <v>2432</v>
      </c>
    </row>
    <row r="1048" spans="1:1" x14ac:dyDescent="0.3">
      <c r="A1048" t="s">
        <v>2433</v>
      </c>
    </row>
    <row r="1049" spans="1:1" x14ac:dyDescent="0.3">
      <c r="A1049" t="s">
        <v>2434</v>
      </c>
    </row>
    <row r="1050" spans="1:1" x14ac:dyDescent="0.3">
      <c r="A1050" t="s">
        <v>2435</v>
      </c>
    </row>
    <row r="1051" spans="1:1" x14ac:dyDescent="0.3">
      <c r="A1051" t="s">
        <v>2436</v>
      </c>
    </row>
    <row r="1052" spans="1:1" x14ac:dyDescent="0.3">
      <c r="A1052" t="s">
        <v>2437</v>
      </c>
    </row>
    <row r="1053" spans="1:1" x14ac:dyDescent="0.3">
      <c r="A1053" t="s">
        <v>2438</v>
      </c>
    </row>
    <row r="1054" spans="1:1" x14ac:dyDescent="0.3">
      <c r="A1054" t="s">
        <v>2439</v>
      </c>
    </row>
    <row r="1055" spans="1:1" x14ac:dyDescent="0.3">
      <c r="A1055" t="s">
        <v>2440</v>
      </c>
    </row>
    <row r="1056" spans="1:1" x14ac:dyDescent="0.3">
      <c r="A1056" t="s">
        <v>2389</v>
      </c>
    </row>
    <row r="1057" spans="1:1" x14ac:dyDescent="0.3">
      <c r="A1057" t="s">
        <v>2390</v>
      </c>
    </row>
    <row r="1058" spans="1:1" x14ac:dyDescent="0.3">
      <c r="A1058" t="s">
        <v>2441</v>
      </c>
    </row>
    <row r="1059" spans="1:1" x14ac:dyDescent="0.3">
      <c r="A1059" t="s">
        <v>2442</v>
      </c>
    </row>
    <row r="1060" spans="1:1" x14ac:dyDescent="0.3">
      <c r="A1060" t="s">
        <v>2443</v>
      </c>
    </row>
    <row r="1061" spans="1:1" x14ac:dyDescent="0.3">
      <c r="A1061" t="s">
        <v>2444</v>
      </c>
    </row>
    <row r="1062" spans="1:1" x14ac:dyDescent="0.3">
      <c r="A1062" t="s">
        <v>2445</v>
      </c>
    </row>
    <row r="1063" spans="1:1" x14ac:dyDescent="0.3">
      <c r="A1063" t="s">
        <v>2446</v>
      </c>
    </row>
    <row r="1064" spans="1:1" x14ac:dyDescent="0.3">
      <c r="A1064" t="s">
        <v>2447</v>
      </c>
    </row>
    <row r="1065" spans="1:1" x14ac:dyDescent="0.3">
      <c r="A1065" t="s">
        <v>2448</v>
      </c>
    </row>
    <row r="1066" spans="1:1" x14ac:dyDescent="0.3">
      <c r="A1066" t="s">
        <v>2449</v>
      </c>
    </row>
    <row r="1067" spans="1:1" x14ac:dyDescent="0.3">
      <c r="A1067" t="s">
        <v>2450</v>
      </c>
    </row>
    <row r="1068" spans="1:1" x14ac:dyDescent="0.3">
      <c r="A1068" t="s">
        <v>2451</v>
      </c>
    </row>
    <row r="1069" spans="1:1" x14ac:dyDescent="0.3">
      <c r="A1069" t="s">
        <v>2452</v>
      </c>
    </row>
    <row r="1070" spans="1:1" x14ac:dyDescent="0.3">
      <c r="A1070" t="s">
        <v>2453</v>
      </c>
    </row>
    <row r="1071" spans="1:1" x14ac:dyDescent="0.3">
      <c r="A1071" t="s">
        <v>2454</v>
      </c>
    </row>
    <row r="1072" spans="1:1" x14ac:dyDescent="0.3">
      <c r="A1072" t="s">
        <v>2455</v>
      </c>
    </row>
    <row r="1073" spans="1:1" x14ac:dyDescent="0.3">
      <c r="A1073" t="s">
        <v>2456</v>
      </c>
    </row>
    <row r="1074" spans="1:1" x14ac:dyDescent="0.3">
      <c r="A1074" t="s">
        <v>2457</v>
      </c>
    </row>
    <row r="1075" spans="1:1" x14ac:dyDescent="0.3">
      <c r="A1075" t="s">
        <v>2458</v>
      </c>
    </row>
    <row r="1076" spans="1:1" x14ac:dyDescent="0.3">
      <c r="A1076" t="s">
        <v>2459</v>
      </c>
    </row>
    <row r="1077" spans="1:1" x14ac:dyDescent="0.3">
      <c r="A1077" t="s">
        <v>2460</v>
      </c>
    </row>
    <row r="1078" spans="1:1" x14ac:dyDescent="0.3">
      <c r="A1078" t="s">
        <v>2461</v>
      </c>
    </row>
    <row r="1079" spans="1:1" x14ac:dyDescent="0.3">
      <c r="A1079" t="s">
        <v>2462</v>
      </c>
    </row>
    <row r="1080" spans="1:1" x14ac:dyDescent="0.3">
      <c r="A1080" t="s">
        <v>2463</v>
      </c>
    </row>
    <row r="1081" spans="1:1" x14ac:dyDescent="0.3">
      <c r="A1081" t="s">
        <v>2464</v>
      </c>
    </row>
    <row r="1082" spans="1:1" x14ac:dyDescent="0.3">
      <c r="A1082" t="s">
        <v>2465</v>
      </c>
    </row>
    <row r="1083" spans="1:1" x14ac:dyDescent="0.3">
      <c r="A1083" t="s">
        <v>2466</v>
      </c>
    </row>
    <row r="1084" spans="1:1" x14ac:dyDescent="0.3">
      <c r="A1084" t="s">
        <v>2467</v>
      </c>
    </row>
    <row r="1085" spans="1:1" x14ac:dyDescent="0.3">
      <c r="A1085" t="s">
        <v>2468</v>
      </c>
    </row>
    <row r="1086" spans="1:1" x14ac:dyDescent="0.3">
      <c r="A1086" t="s">
        <v>2469</v>
      </c>
    </row>
    <row r="1087" spans="1:1" x14ac:dyDescent="0.3">
      <c r="A1087" t="s">
        <v>2470</v>
      </c>
    </row>
    <row r="1088" spans="1:1" x14ac:dyDescent="0.3">
      <c r="A1088" t="s">
        <v>2471</v>
      </c>
    </row>
    <row r="1089" spans="1:1" x14ac:dyDescent="0.3">
      <c r="A1089" t="s">
        <v>2472</v>
      </c>
    </row>
    <row r="1090" spans="1:1" x14ac:dyDescent="0.3">
      <c r="A1090" t="s">
        <v>431</v>
      </c>
    </row>
    <row r="1091" spans="1:1" x14ac:dyDescent="0.3">
      <c r="A1091" t="s">
        <v>603</v>
      </c>
    </row>
    <row r="1092" spans="1:1" x14ac:dyDescent="0.3">
      <c r="A1092" t="s">
        <v>772</v>
      </c>
    </row>
    <row r="1093" spans="1:1" x14ac:dyDescent="0.3">
      <c r="A1093" t="s">
        <v>936</v>
      </c>
    </row>
    <row r="1094" spans="1:1" x14ac:dyDescent="0.3">
      <c r="A1094" t="s">
        <v>1103</v>
      </c>
    </row>
    <row r="1095" spans="1:1" x14ac:dyDescent="0.3">
      <c r="A1095" t="s">
        <v>1274</v>
      </c>
    </row>
    <row r="1096" spans="1:1" x14ac:dyDescent="0.3">
      <c r="A1096" t="s">
        <v>1445</v>
      </c>
    </row>
    <row r="1097" spans="1:1" x14ac:dyDescent="0.3">
      <c r="A1097" t="s">
        <v>1614</v>
      </c>
    </row>
    <row r="1098" spans="1:1" x14ac:dyDescent="0.3">
      <c r="A1098" t="s">
        <v>438</v>
      </c>
    </row>
    <row r="1099" spans="1:1" x14ac:dyDescent="0.3">
      <c r="A1099" t="s">
        <v>610</v>
      </c>
    </row>
    <row r="1100" spans="1:1" x14ac:dyDescent="0.3">
      <c r="A1100" t="s">
        <v>779</v>
      </c>
    </row>
    <row r="1101" spans="1:1" x14ac:dyDescent="0.3">
      <c r="A1101" t="s">
        <v>943</v>
      </c>
    </row>
    <row r="1102" spans="1:1" x14ac:dyDescent="0.3">
      <c r="A1102" t="s">
        <v>1110</v>
      </c>
    </row>
    <row r="1103" spans="1:1" x14ac:dyDescent="0.3">
      <c r="A1103" t="s">
        <v>1281</v>
      </c>
    </row>
    <row r="1104" spans="1:1" x14ac:dyDescent="0.3">
      <c r="A1104" t="s">
        <v>1452</v>
      </c>
    </row>
    <row r="1105" spans="1:1" x14ac:dyDescent="0.3">
      <c r="A1105" t="s">
        <v>1621</v>
      </c>
    </row>
    <row r="1106" spans="1:1" x14ac:dyDescent="0.3">
      <c r="A1106" t="s">
        <v>2479</v>
      </c>
    </row>
    <row r="1107" spans="1:1" x14ac:dyDescent="0.3">
      <c r="A1107" t="s">
        <v>2480</v>
      </c>
    </row>
    <row r="1108" spans="1:1" x14ac:dyDescent="0.3">
      <c r="A1108" t="s">
        <v>2481</v>
      </c>
    </row>
    <row r="1109" spans="1:1" x14ac:dyDescent="0.3">
      <c r="A1109" t="s">
        <v>2482</v>
      </c>
    </row>
    <row r="1110" spans="1:1" x14ac:dyDescent="0.3">
      <c r="A1110" t="s">
        <v>2483</v>
      </c>
    </row>
    <row r="1111" spans="1:1" x14ac:dyDescent="0.3">
      <c r="A1111" t="s">
        <v>2484</v>
      </c>
    </row>
    <row r="1112" spans="1:1" x14ac:dyDescent="0.3">
      <c r="A1112" t="s">
        <v>2485</v>
      </c>
    </row>
    <row r="1113" spans="1:1" x14ac:dyDescent="0.3">
      <c r="A1113" t="s">
        <v>1628</v>
      </c>
    </row>
    <row r="1114" spans="1:1" x14ac:dyDescent="0.3">
      <c r="A1114" t="s">
        <v>2486</v>
      </c>
    </row>
    <row r="1115" spans="1:1" x14ac:dyDescent="0.3">
      <c r="A1115" t="s">
        <v>624</v>
      </c>
    </row>
    <row r="1116" spans="1:1" x14ac:dyDescent="0.3">
      <c r="A1116" t="s">
        <v>2487</v>
      </c>
    </row>
    <row r="1117" spans="1:1" x14ac:dyDescent="0.3">
      <c r="A1117" t="s">
        <v>2488</v>
      </c>
    </row>
    <row r="1118" spans="1:1" x14ac:dyDescent="0.3">
      <c r="A1118" t="s">
        <v>2489</v>
      </c>
    </row>
    <row r="1119" spans="1:1" x14ac:dyDescent="0.3">
      <c r="A1119" t="s">
        <v>2490</v>
      </c>
    </row>
    <row r="1120" spans="1:1" x14ac:dyDescent="0.3">
      <c r="A1120" t="s">
        <v>2491</v>
      </c>
    </row>
    <row r="1121" spans="1:1" x14ac:dyDescent="0.3">
      <c r="A1121" t="s">
        <v>2492</v>
      </c>
    </row>
    <row r="1122" spans="1:1" x14ac:dyDescent="0.3">
      <c r="A1122" t="s">
        <v>432</v>
      </c>
    </row>
    <row r="1123" spans="1:1" x14ac:dyDescent="0.3">
      <c r="A1123" t="s">
        <v>604</v>
      </c>
    </row>
    <row r="1124" spans="1:1" x14ac:dyDescent="0.3">
      <c r="A1124" t="s">
        <v>773</v>
      </c>
    </row>
    <row r="1125" spans="1:1" x14ac:dyDescent="0.3">
      <c r="A1125" t="s">
        <v>937</v>
      </c>
    </row>
    <row r="1126" spans="1:1" x14ac:dyDescent="0.3">
      <c r="A1126" t="s">
        <v>1104</v>
      </c>
    </row>
    <row r="1127" spans="1:1" x14ac:dyDescent="0.3">
      <c r="A1127" t="s">
        <v>1275</v>
      </c>
    </row>
    <row r="1128" spans="1:1" x14ac:dyDescent="0.3">
      <c r="A1128" t="s">
        <v>1446</v>
      </c>
    </row>
    <row r="1129" spans="1:1" x14ac:dyDescent="0.3">
      <c r="A1129" t="s">
        <v>1615</v>
      </c>
    </row>
    <row r="1130" spans="1:1" x14ac:dyDescent="0.3">
      <c r="A1130" t="s">
        <v>439</v>
      </c>
    </row>
    <row r="1131" spans="1:1" x14ac:dyDescent="0.3">
      <c r="A1131" t="s">
        <v>611</v>
      </c>
    </row>
    <row r="1132" spans="1:1" x14ac:dyDescent="0.3">
      <c r="A1132" t="s">
        <v>780</v>
      </c>
    </row>
    <row r="1133" spans="1:1" x14ac:dyDescent="0.3">
      <c r="A1133" t="s">
        <v>944</v>
      </c>
    </row>
    <row r="1134" spans="1:1" x14ac:dyDescent="0.3">
      <c r="A1134" t="s">
        <v>1111</v>
      </c>
    </row>
    <row r="1135" spans="1:1" x14ac:dyDescent="0.3">
      <c r="A1135" t="s">
        <v>2391</v>
      </c>
    </row>
    <row r="1136" spans="1:1" x14ac:dyDescent="0.3">
      <c r="A1136" t="s">
        <v>2392</v>
      </c>
    </row>
    <row r="1137" spans="1:1" x14ac:dyDescent="0.3">
      <c r="A1137" t="s">
        <v>1622</v>
      </c>
    </row>
    <row r="1138" spans="1:1" x14ac:dyDescent="0.3">
      <c r="A1138" t="s">
        <v>2393</v>
      </c>
    </row>
    <row r="1139" spans="1:1" x14ac:dyDescent="0.3">
      <c r="A1139" t="s">
        <v>2394</v>
      </c>
    </row>
    <row r="1140" spans="1:1" x14ac:dyDescent="0.3">
      <c r="A1140" t="s">
        <v>2395</v>
      </c>
    </row>
    <row r="1141" spans="1:1" x14ac:dyDescent="0.3">
      <c r="A1141" t="s">
        <v>2396</v>
      </c>
    </row>
    <row r="1142" spans="1:1" x14ac:dyDescent="0.3">
      <c r="A1142" t="s">
        <v>2397</v>
      </c>
    </row>
    <row r="1143" spans="1:1" x14ac:dyDescent="0.3">
      <c r="A1143" t="s">
        <v>2398</v>
      </c>
    </row>
    <row r="1144" spans="1:1" x14ac:dyDescent="0.3">
      <c r="A1144" t="s">
        <v>2399</v>
      </c>
    </row>
    <row r="1145" spans="1:1" x14ac:dyDescent="0.3">
      <c r="A1145" t="s">
        <v>2400</v>
      </c>
    </row>
    <row r="1146" spans="1:1" x14ac:dyDescent="0.3">
      <c r="A1146" t="s">
        <v>2401</v>
      </c>
    </row>
    <row r="1147" spans="1:1" x14ac:dyDescent="0.3">
      <c r="A1147" t="s">
        <v>2402</v>
      </c>
    </row>
    <row r="1148" spans="1:1" x14ac:dyDescent="0.3">
      <c r="A1148" t="s">
        <v>2403</v>
      </c>
    </row>
    <row r="1149" spans="1:1" x14ac:dyDescent="0.3">
      <c r="A1149" t="s">
        <v>2404</v>
      </c>
    </row>
    <row r="1150" spans="1:1" x14ac:dyDescent="0.3">
      <c r="A1150" t="s">
        <v>2405</v>
      </c>
    </row>
    <row r="1151" spans="1:1" x14ac:dyDescent="0.3">
      <c r="A1151" t="s">
        <v>2406</v>
      </c>
    </row>
    <row r="1152" spans="1:1" x14ac:dyDescent="0.3">
      <c r="A1152" t="s">
        <v>2407</v>
      </c>
    </row>
    <row r="1153" spans="1:1" x14ac:dyDescent="0.3">
      <c r="A1153" t="s">
        <v>2408</v>
      </c>
    </row>
    <row r="1154" spans="1:1" x14ac:dyDescent="0.3">
      <c r="A1154" t="s">
        <v>435</v>
      </c>
    </row>
    <row r="1155" spans="1:1" x14ac:dyDescent="0.3">
      <c r="A1155" t="s">
        <v>607</v>
      </c>
    </row>
    <row r="1156" spans="1:1" x14ac:dyDescent="0.3">
      <c r="A1156" t="s">
        <v>776</v>
      </c>
    </row>
    <row r="1157" spans="1:1" x14ac:dyDescent="0.3">
      <c r="A1157" t="s">
        <v>940</v>
      </c>
    </row>
    <row r="1158" spans="1:1" x14ac:dyDescent="0.3">
      <c r="A1158" t="s">
        <v>1107</v>
      </c>
    </row>
    <row r="1159" spans="1:1" x14ac:dyDescent="0.3">
      <c r="A1159" t="s">
        <v>1278</v>
      </c>
    </row>
    <row r="1160" spans="1:1" x14ac:dyDescent="0.3">
      <c r="A1160" t="s">
        <v>1449</v>
      </c>
    </row>
    <row r="1161" spans="1:1" x14ac:dyDescent="0.3">
      <c r="A1161" t="s">
        <v>1618</v>
      </c>
    </row>
    <row r="1162" spans="1:1" x14ac:dyDescent="0.3">
      <c r="A1162" t="s">
        <v>442</v>
      </c>
    </row>
    <row r="1163" spans="1:1" x14ac:dyDescent="0.3">
      <c r="A1163" t="s">
        <v>614</v>
      </c>
    </row>
    <row r="1164" spans="1:1" x14ac:dyDescent="0.3">
      <c r="A1164" t="s">
        <v>783</v>
      </c>
    </row>
    <row r="1165" spans="1:1" x14ac:dyDescent="0.3">
      <c r="A1165" t="s">
        <v>947</v>
      </c>
    </row>
    <row r="1166" spans="1:1" x14ac:dyDescent="0.3">
      <c r="A1166" t="s">
        <v>1114</v>
      </c>
    </row>
    <row r="1167" spans="1:1" x14ac:dyDescent="0.3">
      <c r="A1167" t="s">
        <v>1285</v>
      </c>
    </row>
    <row r="1168" spans="1:1" x14ac:dyDescent="0.3">
      <c r="A1168" t="s">
        <v>1456</v>
      </c>
    </row>
    <row r="1169" spans="1:1" x14ac:dyDescent="0.3">
      <c r="A1169" t="s">
        <v>1625</v>
      </c>
    </row>
    <row r="1170" spans="1:1" x14ac:dyDescent="0.3">
      <c r="A1170" t="s">
        <v>2473</v>
      </c>
    </row>
    <row r="1171" spans="1:1" x14ac:dyDescent="0.3">
      <c r="A1171" t="s">
        <v>2474</v>
      </c>
    </row>
    <row r="1172" spans="1:1" x14ac:dyDescent="0.3">
      <c r="A1172" t="s">
        <v>2475</v>
      </c>
    </row>
    <row r="1173" spans="1:1" x14ac:dyDescent="0.3">
      <c r="A1173" t="s">
        <v>2476</v>
      </c>
    </row>
    <row r="1174" spans="1:1" x14ac:dyDescent="0.3">
      <c r="A1174" t="s">
        <v>2477</v>
      </c>
    </row>
    <row r="1175" spans="1:1" x14ac:dyDescent="0.3">
      <c r="A1175" t="s">
        <v>1292</v>
      </c>
    </row>
    <row r="1176" spans="1:1" x14ac:dyDescent="0.3">
      <c r="A1176" t="s">
        <v>1463</v>
      </c>
    </row>
    <row r="1177" spans="1:1" x14ac:dyDescent="0.3">
      <c r="A1177" t="s">
        <v>1632</v>
      </c>
    </row>
    <row r="1178" spans="1:1" x14ac:dyDescent="0.3">
      <c r="A1178" t="s">
        <v>455</v>
      </c>
    </row>
    <row r="1179" spans="1:1" x14ac:dyDescent="0.3">
      <c r="A1179" t="s">
        <v>628</v>
      </c>
    </row>
    <row r="1180" spans="1:1" x14ac:dyDescent="0.3">
      <c r="A1180" t="s">
        <v>797</v>
      </c>
    </row>
    <row r="1181" spans="1:1" x14ac:dyDescent="0.3">
      <c r="A1181" t="s">
        <v>958</v>
      </c>
    </row>
    <row r="1182" spans="1:1" x14ac:dyDescent="0.3">
      <c r="A1182" t="s">
        <v>1128</v>
      </c>
    </row>
    <row r="1183" spans="1:1" x14ac:dyDescent="0.3">
      <c r="A1183" t="s">
        <v>2478</v>
      </c>
    </row>
    <row r="1184" spans="1:1" x14ac:dyDescent="0.3">
      <c r="A1184" t="s">
        <v>1470</v>
      </c>
    </row>
    <row r="1185" spans="1:1" x14ac:dyDescent="0.3">
      <c r="A1185" t="s">
        <v>1639</v>
      </c>
    </row>
    <row r="1186" spans="1:1" x14ac:dyDescent="0.3">
      <c r="A1186" t="s">
        <v>2493</v>
      </c>
    </row>
    <row r="1187" spans="1:1" x14ac:dyDescent="0.3">
      <c r="A1187" t="s">
        <v>2494</v>
      </c>
    </row>
    <row r="1188" spans="1:1" x14ac:dyDescent="0.3">
      <c r="A1188" t="s">
        <v>2495</v>
      </c>
    </row>
    <row r="1189" spans="1:1" x14ac:dyDescent="0.3">
      <c r="A1189" t="s">
        <v>2496</v>
      </c>
    </row>
    <row r="1190" spans="1:1" x14ac:dyDescent="0.3">
      <c r="A1190" t="s">
        <v>2497</v>
      </c>
    </row>
    <row r="1191" spans="1:1" x14ac:dyDescent="0.3">
      <c r="A1191" t="s">
        <v>2498</v>
      </c>
    </row>
    <row r="1192" spans="1:1" x14ac:dyDescent="0.3">
      <c r="A1192" t="s">
        <v>2499</v>
      </c>
    </row>
    <row r="1193" spans="1:1" x14ac:dyDescent="0.3">
      <c r="A1193" t="s">
        <v>2500</v>
      </c>
    </row>
    <row r="1194" spans="1:1" x14ac:dyDescent="0.3">
      <c r="A1194" t="s">
        <v>2501</v>
      </c>
    </row>
    <row r="1195" spans="1:1" x14ac:dyDescent="0.3">
      <c r="A1195" t="s">
        <v>2502</v>
      </c>
    </row>
    <row r="1196" spans="1:1" x14ac:dyDescent="0.3">
      <c r="A1196" t="s">
        <v>2503</v>
      </c>
    </row>
    <row r="1197" spans="1:1" x14ac:dyDescent="0.3">
      <c r="A1197" t="s">
        <v>2504</v>
      </c>
    </row>
    <row r="1198" spans="1:1" x14ac:dyDescent="0.3">
      <c r="A1198" t="s">
        <v>2505</v>
      </c>
    </row>
    <row r="1199" spans="1:1" x14ac:dyDescent="0.3">
      <c r="A1199" t="s">
        <v>2506</v>
      </c>
    </row>
    <row r="1200" spans="1:1" x14ac:dyDescent="0.3">
      <c r="A1200" t="s">
        <v>2507</v>
      </c>
    </row>
    <row r="1201" spans="1:1" x14ac:dyDescent="0.3">
      <c r="A1201" t="s">
        <v>2508</v>
      </c>
    </row>
    <row r="1202" spans="1:1" x14ac:dyDescent="0.3">
      <c r="A1202" t="s">
        <v>2509</v>
      </c>
    </row>
    <row r="1203" spans="1:1" x14ac:dyDescent="0.3">
      <c r="A1203" t="s">
        <v>2510</v>
      </c>
    </row>
    <row r="1204" spans="1:1" x14ac:dyDescent="0.3">
      <c r="A1204" t="s">
        <v>2511</v>
      </c>
    </row>
    <row r="1205" spans="1:1" x14ac:dyDescent="0.3">
      <c r="A1205" t="s">
        <v>2512</v>
      </c>
    </row>
    <row r="1206" spans="1:1" x14ac:dyDescent="0.3">
      <c r="A1206" t="s">
        <v>2513</v>
      </c>
    </row>
    <row r="1207" spans="1:1" x14ac:dyDescent="0.3">
      <c r="A1207" t="s">
        <v>2514</v>
      </c>
    </row>
    <row r="1208" spans="1:1" x14ac:dyDescent="0.3">
      <c r="A1208" t="s">
        <v>2515</v>
      </c>
    </row>
    <row r="1209" spans="1:1" x14ac:dyDescent="0.3">
      <c r="A1209" t="s">
        <v>2516</v>
      </c>
    </row>
    <row r="1210" spans="1:1" x14ac:dyDescent="0.3">
      <c r="A1210" t="s">
        <v>2517</v>
      </c>
    </row>
    <row r="1211" spans="1:1" x14ac:dyDescent="0.3">
      <c r="A1211" t="s">
        <v>2518</v>
      </c>
    </row>
    <row r="1212" spans="1:1" x14ac:dyDescent="0.3">
      <c r="A1212" t="s">
        <v>2519</v>
      </c>
    </row>
    <row r="1213" spans="1:1" x14ac:dyDescent="0.3">
      <c r="A1213" t="s">
        <v>2520</v>
      </c>
    </row>
    <row r="1214" spans="1:1" x14ac:dyDescent="0.3">
      <c r="A1214" t="s">
        <v>2521</v>
      </c>
    </row>
    <row r="1215" spans="1:1" x14ac:dyDescent="0.3">
      <c r="A1215" t="s">
        <v>2522</v>
      </c>
    </row>
    <row r="1216" spans="1:1" x14ac:dyDescent="0.3">
      <c r="A1216" t="s">
        <v>2523</v>
      </c>
    </row>
    <row r="1217" spans="1:1" x14ac:dyDescent="0.3">
      <c r="A1217" t="s">
        <v>2524</v>
      </c>
    </row>
    <row r="1218" spans="1:1" x14ac:dyDescent="0.3">
      <c r="A1218" t="s">
        <v>2525</v>
      </c>
    </row>
    <row r="1219" spans="1:1" x14ac:dyDescent="0.3">
      <c r="A1219" t="s">
        <v>2526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366</vt:i4>
      </vt:variant>
    </vt:vector>
  </HeadingPairs>
  <TitlesOfParts>
    <vt:vector size="372" baseType="lpstr">
      <vt:lpstr>Evaluation Sheet</vt:lpstr>
      <vt:lpstr>Student Composition</vt:lpstr>
      <vt:lpstr>Integration Guide</vt:lpstr>
      <vt:lpstr>Lists</vt:lpstr>
      <vt:lpstr>Comment Bank</vt:lpstr>
      <vt:lpstr>DV_Helper</vt:lpstr>
      <vt:lpstr>Cinematography_SemI_A</vt:lpstr>
      <vt:lpstr>Cinematography_SemI_B</vt:lpstr>
      <vt:lpstr>Cinematography_SemI_C</vt:lpstr>
      <vt:lpstr>Cinematography_SemI_D</vt:lpstr>
      <vt:lpstr>Cinematography_SemII_A</vt:lpstr>
      <vt:lpstr>Cinematography_SemII_B</vt:lpstr>
      <vt:lpstr>Cinematography_SemII_C</vt:lpstr>
      <vt:lpstr>Cinematography_SemII_D</vt:lpstr>
      <vt:lpstr>Cinematography_SemIII_A</vt:lpstr>
      <vt:lpstr>Cinematography_SemIII_B</vt:lpstr>
      <vt:lpstr>Cinematography_SemIII_C</vt:lpstr>
      <vt:lpstr>Cinematography_SemIII_D</vt:lpstr>
      <vt:lpstr>Cinematography_SemIV_A</vt:lpstr>
      <vt:lpstr>Cinematography_SemIV_B</vt:lpstr>
      <vt:lpstr>Cinematography_SemIV_C</vt:lpstr>
      <vt:lpstr>Cinematography_SemIV_D</vt:lpstr>
      <vt:lpstr>Cinematography_SemV_A</vt:lpstr>
      <vt:lpstr>Cinematography_SemV_B</vt:lpstr>
      <vt:lpstr>Cinematography_SemV_C</vt:lpstr>
      <vt:lpstr>Cinematography_SemV_D</vt:lpstr>
      <vt:lpstr>Cinematography_SemVI_A</vt:lpstr>
      <vt:lpstr>Cinematography_SemVI_B</vt:lpstr>
      <vt:lpstr>Cinematography_SemVI_C</vt:lpstr>
      <vt:lpstr>Cinematography_SemVI_D</vt:lpstr>
      <vt:lpstr>Creative_A</vt:lpstr>
      <vt:lpstr>Creative_B</vt:lpstr>
      <vt:lpstr>Creative_C</vt:lpstr>
      <vt:lpstr>Creative_D</vt:lpstr>
      <vt:lpstr>Direction_SemI_A</vt:lpstr>
      <vt:lpstr>Direction_SemI_B</vt:lpstr>
      <vt:lpstr>Direction_SemI_C</vt:lpstr>
      <vt:lpstr>Direction_SemI_D</vt:lpstr>
      <vt:lpstr>Direction_SemII_A</vt:lpstr>
      <vt:lpstr>Direction_SemII_B</vt:lpstr>
      <vt:lpstr>Direction_SemII_C</vt:lpstr>
      <vt:lpstr>Direction_SemII_D</vt:lpstr>
      <vt:lpstr>Direction_SemIII_A</vt:lpstr>
      <vt:lpstr>Direction_SemIII_B</vt:lpstr>
      <vt:lpstr>Direction_SemIII_C</vt:lpstr>
      <vt:lpstr>Direction_SemIII_D</vt:lpstr>
      <vt:lpstr>Direction_SemIV_D</vt:lpstr>
      <vt:lpstr>Direction_SemV_A</vt:lpstr>
      <vt:lpstr>Direction_SemV_B</vt:lpstr>
      <vt:lpstr>Direction_SemV_C</vt:lpstr>
      <vt:lpstr>Direction_SemV_D</vt:lpstr>
      <vt:lpstr>Direction_SemVI_D</vt:lpstr>
      <vt:lpstr>Editing_SemI_A</vt:lpstr>
      <vt:lpstr>Editing_SemI_B</vt:lpstr>
      <vt:lpstr>Editing_SemI_C</vt:lpstr>
      <vt:lpstr>Editing_SemI_D</vt:lpstr>
      <vt:lpstr>Editing_SemII_A</vt:lpstr>
      <vt:lpstr>Editing_SemII_B</vt:lpstr>
      <vt:lpstr>Editing_SemII_C</vt:lpstr>
      <vt:lpstr>Editing_SemII_D</vt:lpstr>
      <vt:lpstr>Editing_SemIII_A</vt:lpstr>
      <vt:lpstr>Editing_SemIII_B</vt:lpstr>
      <vt:lpstr>Editing_SemIII_C</vt:lpstr>
      <vt:lpstr>Editing_SemIII_D</vt:lpstr>
      <vt:lpstr>Editing_SemIV_A</vt:lpstr>
      <vt:lpstr>Editing_SemIV_B</vt:lpstr>
      <vt:lpstr>Editing_SemIV_C</vt:lpstr>
      <vt:lpstr>Editing_SemIV_D</vt:lpstr>
      <vt:lpstr>Editing_SemV_A</vt:lpstr>
      <vt:lpstr>Editing_SemV_B</vt:lpstr>
      <vt:lpstr>Editing_SemV_C</vt:lpstr>
      <vt:lpstr>Editing_SemV_D</vt:lpstr>
      <vt:lpstr>Editing_SemVI_A</vt:lpstr>
      <vt:lpstr>Editing_SemVI_B</vt:lpstr>
      <vt:lpstr>Editing_SemVI_C</vt:lpstr>
      <vt:lpstr>Editing_SemVI_D</vt:lpstr>
      <vt:lpstr>Production_SemI_A</vt:lpstr>
      <vt:lpstr>Production_SemI_B</vt:lpstr>
      <vt:lpstr>Production_SemI_C</vt:lpstr>
      <vt:lpstr>Production_SemI_D</vt:lpstr>
      <vt:lpstr>Production_SemII_A</vt:lpstr>
      <vt:lpstr>Production_SemII_B</vt:lpstr>
      <vt:lpstr>Production_SemII_C</vt:lpstr>
      <vt:lpstr>Production_SemII_D</vt:lpstr>
      <vt:lpstr>Production_SemIII_A</vt:lpstr>
      <vt:lpstr>Production_SemIII_B</vt:lpstr>
      <vt:lpstr>Production_SemIII_C</vt:lpstr>
      <vt:lpstr>Production_SemIII_D</vt:lpstr>
      <vt:lpstr>Production_SemIV_A</vt:lpstr>
      <vt:lpstr>Production_SemIV_B</vt:lpstr>
      <vt:lpstr>Production_SemIV_C</vt:lpstr>
      <vt:lpstr>Production_SemIV_D</vt:lpstr>
      <vt:lpstr>Production_SemV_A</vt:lpstr>
      <vt:lpstr>Production_SemV_B</vt:lpstr>
      <vt:lpstr>Production_SemV_C</vt:lpstr>
      <vt:lpstr>Production_SemV_D</vt:lpstr>
      <vt:lpstr>Production_SemVI_A</vt:lpstr>
      <vt:lpstr>Production_SemVI_B</vt:lpstr>
      <vt:lpstr>Production_SemVI_C</vt:lpstr>
      <vt:lpstr>Production_SemVI_D</vt:lpstr>
      <vt:lpstr>Professional_A</vt:lpstr>
      <vt:lpstr>Professional_B</vt:lpstr>
      <vt:lpstr>Professional_C</vt:lpstr>
      <vt:lpstr>Professional_D</vt:lpstr>
      <vt:lpstr>Screenwriting_SemI_A</vt:lpstr>
      <vt:lpstr>Screenwriting_SemI_B</vt:lpstr>
      <vt:lpstr>Screenwriting_SemI_C</vt:lpstr>
      <vt:lpstr>Screenwriting_SemI_D</vt:lpstr>
      <vt:lpstr>Screenwriting_SemII_A</vt:lpstr>
      <vt:lpstr>Screenwriting_SemII_B</vt:lpstr>
      <vt:lpstr>Screenwriting_SemII_C</vt:lpstr>
      <vt:lpstr>Screenwriting_SemII_D</vt:lpstr>
      <vt:lpstr>Screenwriting_SemIII_A</vt:lpstr>
      <vt:lpstr>Screenwriting_SemIII_B</vt:lpstr>
      <vt:lpstr>Screenwriting_SemIII_C</vt:lpstr>
      <vt:lpstr>Screenwriting_SemIII_D</vt:lpstr>
      <vt:lpstr>Screenwriting_SemIV_A</vt:lpstr>
      <vt:lpstr>Screenwriting_SemIV_B</vt:lpstr>
      <vt:lpstr>Screenwriting_SemIV_C</vt:lpstr>
      <vt:lpstr>Screenwriting_SemIV_D</vt:lpstr>
      <vt:lpstr>Screenwriting_SemV_A</vt:lpstr>
      <vt:lpstr>Screenwriting_SemV_B</vt:lpstr>
      <vt:lpstr>Screenwriting_SemV_C</vt:lpstr>
      <vt:lpstr>Screenwriting_SemV_D</vt:lpstr>
      <vt:lpstr>Screenwriting_SemVI_A</vt:lpstr>
      <vt:lpstr>Screenwriting_SemVI_B</vt:lpstr>
      <vt:lpstr>Screenwriting_SemVI_C</vt:lpstr>
      <vt:lpstr>Screenwriting_SemVI_D</vt:lpstr>
      <vt:lpstr>SemI_Cinematography_A</vt:lpstr>
      <vt:lpstr>SemI_Cinematography_B</vt:lpstr>
      <vt:lpstr>SemI_Cinematography_C</vt:lpstr>
      <vt:lpstr>SemI_Cinematography_D</vt:lpstr>
      <vt:lpstr>SemI_Direction_A</vt:lpstr>
      <vt:lpstr>SemI_Direction_B</vt:lpstr>
      <vt:lpstr>SemI_Direction_C</vt:lpstr>
      <vt:lpstr>SemI_Direction_D</vt:lpstr>
      <vt:lpstr>SemI_Editing_A</vt:lpstr>
      <vt:lpstr>SemI_Editing_B</vt:lpstr>
      <vt:lpstr>SemI_Editing_C</vt:lpstr>
      <vt:lpstr>SemI_Editing_D</vt:lpstr>
      <vt:lpstr>SemI_Production_A</vt:lpstr>
      <vt:lpstr>SemI_Production_B</vt:lpstr>
      <vt:lpstr>SemI_Production_C</vt:lpstr>
      <vt:lpstr>SemI_Production_D</vt:lpstr>
      <vt:lpstr>SemI_Screenwriting_A</vt:lpstr>
      <vt:lpstr>SemI_Screenwriting_B</vt:lpstr>
      <vt:lpstr>SemI_Screenwriting_C</vt:lpstr>
      <vt:lpstr>SemI_Screenwriting_D</vt:lpstr>
      <vt:lpstr>SemI_Sound_A</vt:lpstr>
      <vt:lpstr>SemI_Sound_B</vt:lpstr>
      <vt:lpstr>SemI_Sound_C</vt:lpstr>
      <vt:lpstr>SemI_Sound_D</vt:lpstr>
      <vt:lpstr>SemI_SoundDesign_A</vt:lpstr>
      <vt:lpstr>SemI_SoundDesign_B</vt:lpstr>
      <vt:lpstr>SemI_SoundDesign_C</vt:lpstr>
      <vt:lpstr>SemI_SoundDesign_D</vt:lpstr>
      <vt:lpstr>SemII_Cinematography_A</vt:lpstr>
      <vt:lpstr>SemII_Cinematography_B</vt:lpstr>
      <vt:lpstr>SemII_Cinematography_C</vt:lpstr>
      <vt:lpstr>SemII_Cinematography_D</vt:lpstr>
      <vt:lpstr>SemII_Direction_A</vt:lpstr>
      <vt:lpstr>SemII_Direction_B</vt:lpstr>
      <vt:lpstr>SemII_Direction_C</vt:lpstr>
      <vt:lpstr>SemII_Direction_D</vt:lpstr>
      <vt:lpstr>SemII_Editing_A</vt:lpstr>
      <vt:lpstr>SemII_Editing_B</vt:lpstr>
      <vt:lpstr>SemII_Editing_C</vt:lpstr>
      <vt:lpstr>SemII_Editing_D</vt:lpstr>
      <vt:lpstr>SemII_Production_A</vt:lpstr>
      <vt:lpstr>SemII_Production_B</vt:lpstr>
      <vt:lpstr>SemII_Production_C</vt:lpstr>
      <vt:lpstr>SemII_Production_D</vt:lpstr>
      <vt:lpstr>SemII_Screenwriting_A</vt:lpstr>
      <vt:lpstr>SemII_Screenwriting_B</vt:lpstr>
      <vt:lpstr>SemII_Screenwriting_C</vt:lpstr>
      <vt:lpstr>SemII_Screenwriting_D</vt:lpstr>
      <vt:lpstr>SemII_Sound_A</vt:lpstr>
      <vt:lpstr>SemII_Sound_B</vt:lpstr>
      <vt:lpstr>SemII_Sound_C</vt:lpstr>
      <vt:lpstr>SemII_Sound_D</vt:lpstr>
      <vt:lpstr>SemII_SoundDesign_A</vt:lpstr>
      <vt:lpstr>SemII_SoundDesign_B</vt:lpstr>
      <vt:lpstr>SemII_SoundDesign_C</vt:lpstr>
      <vt:lpstr>SemII_SoundDesign_D</vt:lpstr>
      <vt:lpstr>SemIII_Cinematography_A</vt:lpstr>
      <vt:lpstr>SemIII_Cinematography_B</vt:lpstr>
      <vt:lpstr>SemIII_Cinematography_C</vt:lpstr>
      <vt:lpstr>SemIII_Cinematography_D</vt:lpstr>
      <vt:lpstr>SemIII_Direction_A</vt:lpstr>
      <vt:lpstr>SemIII_Direction_B</vt:lpstr>
      <vt:lpstr>SemIII_Direction_C</vt:lpstr>
      <vt:lpstr>SemIII_Direction_D</vt:lpstr>
      <vt:lpstr>SemIII_Editing_A</vt:lpstr>
      <vt:lpstr>SemIII_Editing_B</vt:lpstr>
      <vt:lpstr>SemIII_Editing_C</vt:lpstr>
      <vt:lpstr>SemIII_Editing_D</vt:lpstr>
      <vt:lpstr>SemIII_Production_A</vt:lpstr>
      <vt:lpstr>SemIII_Production_B</vt:lpstr>
      <vt:lpstr>SemIII_Production_C</vt:lpstr>
      <vt:lpstr>SemIII_Production_D</vt:lpstr>
      <vt:lpstr>SemIII_Screenwriting_A</vt:lpstr>
      <vt:lpstr>SemIII_Screenwriting_B</vt:lpstr>
      <vt:lpstr>SemIII_Screenwriting_C</vt:lpstr>
      <vt:lpstr>SemIII_Screenwriting_D</vt:lpstr>
      <vt:lpstr>SemIII_SoundDesign_A</vt:lpstr>
      <vt:lpstr>SemIII_SoundDesign_B</vt:lpstr>
      <vt:lpstr>SemIII_SoundDesign_C</vt:lpstr>
      <vt:lpstr>SemIII_SoundDesign_D</vt:lpstr>
      <vt:lpstr>SemIII_VFX_A</vt:lpstr>
      <vt:lpstr>SemIII_VFX_B</vt:lpstr>
      <vt:lpstr>SemIII_VFX_C</vt:lpstr>
      <vt:lpstr>SemIII_VFX_D</vt:lpstr>
      <vt:lpstr>SemIV_Cinematography_A</vt:lpstr>
      <vt:lpstr>SemIV_Cinematography_B</vt:lpstr>
      <vt:lpstr>SemIV_Cinematography_C</vt:lpstr>
      <vt:lpstr>SemIV_Cinematography_D</vt:lpstr>
      <vt:lpstr>SemIV_Direction_A</vt:lpstr>
      <vt:lpstr>SemIV_Direction_B</vt:lpstr>
      <vt:lpstr>SemIV_Direction_C</vt:lpstr>
      <vt:lpstr>SemIV_Direction_D</vt:lpstr>
      <vt:lpstr>SemIV_Editing_A</vt:lpstr>
      <vt:lpstr>SemIV_Editing_B</vt:lpstr>
      <vt:lpstr>SemIV_Editing_C</vt:lpstr>
      <vt:lpstr>SemIV_Editing_D</vt:lpstr>
      <vt:lpstr>SemIV_Production_A</vt:lpstr>
      <vt:lpstr>SemIV_Production_B</vt:lpstr>
      <vt:lpstr>SemIV_Production_C</vt:lpstr>
      <vt:lpstr>SemIV_Production_D</vt:lpstr>
      <vt:lpstr>SemIV_Screenwriting_A</vt:lpstr>
      <vt:lpstr>SemIV_Screenwriting_B</vt:lpstr>
      <vt:lpstr>SemIV_Screenwriting_C</vt:lpstr>
      <vt:lpstr>SemIV_Screenwriting_D</vt:lpstr>
      <vt:lpstr>SemIV_SoundDesign_A</vt:lpstr>
      <vt:lpstr>SemIV_SoundDesign_B</vt:lpstr>
      <vt:lpstr>SemIV_SoundDesign_C</vt:lpstr>
      <vt:lpstr>SemIV_SoundDesign_D</vt:lpstr>
      <vt:lpstr>SemIV_VFX_A</vt:lpstr>
      <vt:lpstr>SemIV_VFX_B</vt:lpstr>
      <vt:lpstr>SemIV_VFX_C</vt:lpstr>
      <vt:lpstr>SemIV_VFX_D</vt:lpstr>
      <vt:lpstr>SemV_Cinematography_A</vt:lpstr>
      <vt:lpstr>SemV_Cinematography_B</vt:lpstr>
      <vt:lpstr>SemV_Cinematography_C</vt:lpstr>
      <vt:lpstr>SemV_Cinematography_D</vt:lpstr>
      <vt:lpstr>SemV_Direction_A</vt:lpstr>
      <vt:lpstr>SemV_Direction_B</vt:lpstr>
      <vt:lpstr>SemV_Direction_C</vt:lpstr>
      <vt:lpstr>SemV_Direction_D</vt:lpstr>
      <vt:lpstr>SemV_Editing_A</vt:lpstr>
      <vt:lpstr>SemV_Editing_B</vt:lpstr>
      <vt:lpstr>SemV_Editing_C</vt:lpstr>
      <vt:lpstr>SemV_Editing_D</vt:lpstr>
      <vt:lpstr>SemV_Production_A</vt:lpstr>
      <vt:lpstr>SemV_Production_B</vt:lpstr>
      <vt:lpstr>SemV_Production_C</vt:lpstr>
      <vt:lpstr>SemV_Production_D</vt:lpstr>
      <vt:lpstr>SemV_Screenwriting_A</vt:lpstr>
      <vt:lpstr>SemV_Screenwriting_B</vt:lpstr>
      <vt:lpstr>SemV_Screenwriting_C</vt:lpstr>
      <vt:lpstr>SemV_Screenwriting_D</vt:lpstr>
      <vt:lpstr>SemV_SoundDesign_A</vt:lpstr>
      <vt:lpstr>SemV_SoundDesign_B</vt:lpstr>
      <vt:lpstr>SemV_SoundDesign_C</vt:lpstr>
      <vt:lpstr>SemV_SoundDesign_D</vt:lpstr>
      <vt:lpstr>SemV_VFX_A</vt:lpstr>
      <vt:lpstr>SemV_VFX_B</vt:lpstr>
      <vt:lpstr>SemV_VFX_C</vt:lpstr>
      <vt:lpstr>SemV_VFX_D</vt:lpstr>
      <vt:lpstr>SemVI_Cinematography_A</vt:lpstr>
      <vt:lpstr>SemVI_Cinematography_B</vt:lpstr>
      <vt:lpstr>SemVI_Cinematography_C</vt:lpstr>
      <vt:lpstr>SemVI_Cinematography_D</vt:lpstr>
      <vt:lpstr>SemVI_Direction_A</vt:lpstr>
      <vt:lpstr>SemVI_Direction_B</vt:lpstr>
      <vt:lpstr>SemVI_Direction_C</vt:lpstr>
      <vt:lpstr>SemVI_Direction_D</vt:lpstr>
      <vt:lpstr>SemVI_Editing_A</vt:lpstr>
      <vt:lpstr>SemVI_Editing_B</vt:lpstr>
      <vt:lpstr>SemVI_Editing_C</vt:lpstr>
      <vt:lpstr>SemVI_Editing_D</vt:lpstr>
      <vt:lpstr>SemVI_Production_A</vt:lpstr>
      <vt:lpstr>SemVI_Production_B</vt:lpstr>
      <vt:lpstr>SemVI_Production_C</vt:lpstr>
      <vt:lpstr>SemVI_Production_D</vt:lpstr>
      <vt:lpstr>SemVI_Screenwriting_A</vt:lpstr>
      <vt:lpstr>SemVI_Screenwriting_B</vt:lpstr>
      <vt:lpstr>SemVI_Screenwriting_C</vt:lpstr>
      <vt:lpstr>SemVI_Screenwriting_D</vt:lpstr>
      <vt:lpstr>SemVI_SoundDesign_A</vt:lpstr>
      <vt:lpstr>SemVI_SoundDesign_B</vt:lpstr>
      <vt:lpstr>SemVI_SoundDesign_C</vt:lpstr>
      <vt:lpstr>SemVI_SoundDesign_D</vt:lpstr>
      <vt:lpstr>SemVI_VFX_A</vt:lpstr>
      <vt:lpstr>SemVI_VFX_B</vt:lpstr>
      <vt:lpstr>SemVI_VFX_C</vt:lpstr>
      <vt:lpstr>SemVI_VFX_D</vt:lpstr>
      <vt:lpstr>Sound_Design_SemIII_A</vt:lpstr>
      <vt:lpstr>Sound_Design_SemIII_B</vt:lpstr>
      <vt:lpstr>Sound_Design_SemIII_C</vt:lpstr>
      <vt:lpstr>Sound_Design_SemIII_D</vt:lpstr>
      <vt:lpstr>Sound_Design_SemIV_A</vt:lpstr>
      <vt:lpstr>Sound_Design_SemIV_B</vt:lpstr>
      <vt:lpstr>Sound_Design_SemIV_C</vt:lpstr>
      <vt:lpstr>Sound_Design_SemIV_D</vt:lpstr>
      <vt:lpstr>Sound_Design_SemV_A</vt:lpstr>
      <vt:lpstr>Sound_Design_SemV_B</vt:lpstr>
      <vt:lpstr>Sound_Design_SemV_C</vt:lpstr>
      <vt:lpstr>Sound_Design_SemV_D</vt:lpstr>
      <vt:lpstr>Sound_Design_SemVI_A</vt:lpstr>
      <vt:lpstr>Sound_Design_SemVI_B</vt:lpstr>
      <vt:lpstr>Sound_Design_SemVI_C</vt:lpstr>
      <vt:lpstr>Sound_Design_SemVI_D</vt:lpstr>
      <vt:lpstr>SoundDesign_SemI_A</vt:lpstr>
      <vt:lpstr>SoundDesign_SemI_B</vt:lpstr>
      <vt:lpstr>SoundDesign_SemI_C</vt:lpstr>
      <vt:lpstr>SoundDesign_SemI_D</vt:lpstr>
      <vt:lpstr>SoundDesign_SemII_A</vt:lpstr>
      <vt:lpstr>SoundDesign_SemII_B</vt:lpstr>
      <vt:lpstr>SoundDesign_SemII_C</vt:lpstr>
      <vt:lpstr>SoundDesign_SemII_D</vt:lpstr>
      <vt:lpstr>SoundDesign_SemIII_A</vt:lpstr>
      <vt:lpstr>SoundDesign_SemIII_B</vt:lpstr>
      <vt:lpstr>SoundDesign_SemIII_C</vt:lpstr>
      <vt:lpstr>SoundDesign_SemIII_D</vt:lpstr>
      <vt:lpstr>SoundDesign_SemIV_A</vt:lpstr>
      <vt:lpstr>SoundDesign_SemIV_B</vt:lpstr>
      <vt:lpstr>SoundDesign_SemIV_C</vt:lpstr>
      <vt:lpstr>SoundDesign_SemIV_D</vt:lpstr>
      <vt:lpstr>SoundDesign_SemV_A</vt:lpstr>
      <vt:lpstr>SoundDesign_SemV_B</vt:lpstr>
      <vt:lpstr>SoundDesign_SemV_C</vt:lpstr>
      <vt:lpstr>SoundDesign_SemV_D</vt:lpstr>
      <vt:lpstr>SoundDesign_SemVI_A</vt:lpstr>
      <vt:lpstr>SoundDesign_SemVI_B</vt:lpstr>
      <vt:lpstr>SoundDesign_SemVI_C</vt:lpstr>
      <vt:lpstr>SoundDesign_SemVI_D</vt:lpstr>
      <vt:lpstr>Technical_A</vt:lpstr>
      <vt:lpstr>Technical_B</vt:lpstr>
      <vt:lpstr>Technical_C</vt:lpstr>
      <vt:lpstr>Technical_D</vt:lpstr>
      <vt:lpstr>VFX_SemIII_A</vt:lpstr>
      <vt:lpstr>VFX_SemIII_B</vt:lpstr>
      <vt:lpstr>VFX_SemIII_C</vt:lpstr>
      <vt:lpstr>VFX_SemIII_D</vt:lpstr>
      <vt:lpstr>VFX_SemIV_A</vt:lpstr>
      <vt:lpstr>VFX_SemIV_B</vt:lpstr>
      <vt:lpstr>VFX_SemIV_C</vt:lpstr>
      <vt:lpstr>VFX_SemIV_D</vt:lpstr>
      <vt:lpstr>VFX_SemV_A</vt:lpstr>
      <vt:lpstr>VFX_SemV_B</vt:lpstr>
      <vt:lpstr>VFX_SemV_C</vt:lpstr>
      <vt:lpstr>VFX_SemV_D</vt:lpstr>
      <vt:lpstr>VFX_SemVI_A</vt:lpstr>
      <vt:lpstr>VFX_SemVI_B</vt:lpstr>
      <vt:lpstr>VFX_SemVI_C</vt:lpstr>
      <vt:lpstr>VFX_SemVI_D</vt:lpstr>
      <vt:lpstr>Visual_Effects_SemIII_A</vt:lpstr>
      <vt:lpstr>Visual_Effects_SemIII_B</vt:lpstr>
      <vt:lpstr>Visual_Effects_SemIII_C</vt:lpstr>
      <vt:lpstr>Visual_Effects_SemIII_D</vt:lpstr>
      <vt:lpstr>Visual_Effects_SemIV_A</vt:lpstr>
      <vt:lpstr>Visual_Effects_SemIV_B</vt:lpstr>
      <vt:lpstr>Visual_Effects_SemIV_C</vt:lpstr>
      <vt:lpstr>Visual_Effects_SemIV_D</vt:lpstr>
      <vt:lpstr>Visual_Effects_SemV_A</vt:lpstr>
      <vt:lpstr>Visual_Effects_SemV_B</vt:lpstr>
      <vt:lpstr>Visual_Effects_SemV_C</vt:lpstr>
      <vt:lpstr>Visual_Effects_SemV_D</vt:lpstr>
      <vt:lpstr>Visual_Effects_SemVI_A</vt:lpstr>
      <vt:lpstr>Visual_Effects_SemVI_B</vt:lpstr>
      <vt:lpstr>Visual_Effects_SemVI_C</vt:lpstr>
      <vt:lpstr>Visual_Effects_SemVI_D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Sriram</cp:lastModifiedBy>
  <dcterms:created xsi:type="dcterms:W3CDTF">2026-05-20T05:45:37Z</dcterms:created>
  <dcterms:modified xsi:type="dcterms:W3CDTF">2026-05-20T06:09:44Z</dcterms:modified>
</cp:coreProperties>
</file>